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ma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"/>
    <numFmt numFmtId="166" formatCode="0.0000%"/>
    <numFmt numFmtId="167" formatCode="#,##0.000"/>
    <numFmt numFmtId="168" formatCode="0.00000"/>
    <numFmt numFmtId="169" formatCode="0.00000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2" borderId="1" pivotButton="0" quotePrefix="0" xfId="0"/>
    <xf numFmtId="164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166" fontId="0" fillId="3" borderId="1" pivotButton="0" quotePrefix="0" xfId="0"/>
    <xf numFmtId="0" fontId="4" fillId="4" borderId="1" applyAlignment="1" pivotButton="0" quotePrefix="0" xfId="0">
      <alignment horizontal="center" wrapText="1"/>
    </xf>
    <xf numFmtId="10" fontId="0" fillId="2" borderId="0" pivotButton="0" quotePrefix="0" xfId="0"/>
    <xf numFmtId="10" fontId="0" fillId="3" borderId="1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DPMO, Sigma Level and Yield Calculator</t>
        </is>
      </c>
    </row>
    <row r="2">
      <c r="A2" s="2" t="inlineStr">
        <is>
          <t>Enter defects, units and opportunities per unit.</t>
        </is>
      </c>
    </row>
    <row r="4">
      <c r="A4" s="3" t="inlineStr">
        <is>
          <t>Defects found</t>
        </is>
      </c>
      <c r="B4" s="4" t="n">
        <v>17</v>
      </c>
    </row>
    <row r="5">
      <c r="A5" s="3" t="inlineStr">
        <is>
          <t>Units inspected</t>
        </is>
      </c>
      <c r="B5" s="4" t="n">
        <v>1000</v>
      </c>
    </row>
    <row r="6">
      <c r="A6" s="3" t="inlineStr">
        <is>
          <t>Opportunities per unit</t>
        </is>
      </c>
      <c r="B6" s="4" t="n">
        <v>5</v>
      </c>
    </row>
    <row r="7">
      <c r="A7" s="3" t="inlineStr">
        <is>
          <t>DPU (defects per unit)</t>
        </is>
      </c>
      <c r="B7" s="5">
        <f>B4/B5</f>
        <v/>
      </c>
    </row>
    <row r="8">
      <c r="A8" s="3" t="inlineStr">
        <is>
          <t>DPMO</t>
        </is>
      </c>
      <c r="B8" s="6">
        <f>B4/(B5*B6)*1000000</f>
        <v/>
      </c>
    </row>
    <row r="9">
      <c r="A9" s="3" t="inlineStr">
        <is>
          <t>Sigma level (short term, with 1.5 shift)</t>
        </is>
      </c>
      <c r="B9" s="7">
        <f>NORMSINV(1-B8/1000000)+1.5</f>
        <v/>
      </c>
    </row>
    <row r="10">
      <c r="A10" s="3" t="inlineStr">
        <is>
          <t>Long-term yield</t>
        </is>
      </c>
      <c r="B10" s="8">
        <f>1-B8/1000000</f>
        <v/>
      </c>
    </row>
    <row r="12">
      <c r="A12" s="9" t="inlineStr">
        <is>
          <t>Step</t>
        </is>
      </c>
      <c r="B12" s="9" t="inlineStr">
        <is>
          <t>First-pass yield</t>
        </is>
      </c>
    </row>
    <row r="13">
      <c r="A13" t="inlineStr">
        <is>
          <t>Step 1</t>
        </is>
      </c>
      <c r="B13" s="10" t="n">
        <v>0.98</v>
      </c>
    </row>
    <row r="14">
      <c r="A14" t="inlineStr">
        <is>
          <t>Step 2</t>
        </is>
      </c>
      <c r="B14" s="10" t="n">
        <v>0.95</v>
      </c>
    </row>
    <row r="15">
      <c r="A15" t="inlineStr">
        <is>
          <t>Step 3</t>
        </is>
      </c>
      <c r="B15" s="10" t="n">
        <v>0.99</v>
      </c>
    </row>
    <row r="16">
      <c r="A16" t="inlineStr">
        <is>
          <t>Step 4</t>
        </is>
      </c>
      <c r="B16" s="10" t="n">
        <v>0.97</v>
      </c>
    </row>
    <row r="18">
      <c r="A18" s="3" t="inlineStr">
        <is>
          <t>Rolled throughput yield</t>
        </is>
      </c>
      <c r="B18" s="11">
        <f>PRODUCT(B13:B17)</f>
        <v/>
      </c>
    </row>
    <row r="20">
      <c r="A20" s="9" t="inlineStr">
        <is>
          <t>Sigma level</t>
        </is>
      </c>
      <c r="B20" s="9" t="inlineStr">
        <is>
          <t>With 1.5 shift</t>
        </is>
      </c>
      <c r="C20" s="9" t="inlineStr">
        <is>
          <t>DPMO</t>
        </is>
      </c>
      <c r="D20" s="9" t="inlineStr">
        <is>
          <t>% defective</t>
        </is>
      </c>
      <c r="E20" s="9" t="inlineStr">
        <is>
          <t>% yield</t>
        </is>
      </c>
      <c r="F20" s="9" t="inlineStr">
        <is>
          <t>Cpk short term</t>
        </is>
      </c>
      <c r="G20" s="9" t="inlineStr">
        <is>
          <t>Cpk long term</t>
        </is>
      </c>
    </row>
    <row r="21">
      <c r="A21" t="n">
        <v>1</v>
      </c>
      <c r="B21" s="12">
        <f>A21-1.5</f>
        <v/>
      </c>
      <c r="C21" s="13">
        <f>(1-NORMSDIST(B21))*1000000</f>
        <v/>
      </c>
      <c r="D21" s="14">
        <f>C21/10000</f>
        <v/>
      </c>
      <c r="E21" s="15">
        <f>100-D21</f>
        <v/>
      </c>
      <c r="F21" s="16">
        <f>A21/3</f>
        <v/>
      </c>
      <c r="G21" s="16">
        <f>B21/3</f>
        <v/>
      </c>
    </row>
    <row r="22">
      <c r="A22" t="n">
        <v>2</v>
      </c>
      <c r="B22" s="12">
        <f>A22-1.5</f>
        <v/>
      </c>
      <c r="C22" s="13">
        <f>(1-NORMSDIST(B22))*1000000</f>
        <v/>
      </c>
      <c r="D22" s="14">
        <f>C22/10000</f>
        <v/>
      </c>
      <c r="E22" s="15">
        <f>100-D22</f>
        <v/>
      </c>
      <c r="F22" s="16">
        <f>A22/3</f>
        <v/>
      </c>
      <c r="G22" s="16">
        <f>B22/3</f>
        <v/>
      </c>
    </row>
    <row r="23">
      <c r="A23" t="n">
        <v>3</v>
      </c>
      <c r="B23" s="12">
        <f>A23-1.5</f>
        <v/>
      </c>
      <c r="C23" s="13">
        <f>(1-NORMSDIST(B23))*1000000</f>
        <v/>
      </c>
      <c r="D23" s="14">
        <f>C23/10000</f>
        <v/>
      </c>
      <c r="E23" s="15">
        <f>100-D23</f>
        <v/>
      </c>
      <c r="F23" s="16">
        <f>A23/3</f>
        <v/>
      </c>
      <c r="G23" s="16">
        <f>B23/3</f>
        <v/>
      </c>
    </row>
    <row r="24">
      <c r="A24" t="n">
        <v>4</v>
      </c>
      <c r="B24" s="12">
        <f>A24-1.5</f>
        <v/>
      </c>
      <c r="C24" s="13">
        <f>(1-NORMSDIST(B24))*1000000</f>
        <v/>
      </c>
      <c r="D24" s="14">
        <f>C24/10000</f>
        <v/>
      </c>
      <c r="E24" s="15">
        <f>100-D24</f>
        <v/>
      </c>
      <c r="F24" s="16">
        <f>A24/3</f>
        <v/>
      </c>
      <c r="G24" s="16">
        <f>B24/3</f>
        <v/>
      </c>
    </row>
    <row r="25">
      <c r="A25" t="n">
        <v>5</v>
      </c>
      <c r="B25" s="12">
        <f>A25-1.5</f>
        <v/>
      </c>
      <c r="C25" s="13">
        <f>(1-NORMSDIST(B25))*1000000</f>
        <v/>
      </c>
      <c r="D25" s="14">
        <f>C25/10000</f>
        <v/>
      </c>
      <c r="E25" s="15">
        <f>100-D25</f>
        <v/>
      </c>
      <c r="F25" s="16">
        <f>A25/3</f>
        <v/>
      </c>
      <c r="G25" s="16">
        <f>B25/3</f>
        <v/>
      </c>
    </row>
    <row r="26">
      <c r="A26" t="n">
        <v>6</v>
      </c>
      <c r="B26" s="12">
        <f>A26-1.5</f>
        <v/>
      </c>
      <c r="C26" s="13">
        <f>(1-NORMSDIST(B26))*1000000</f>
        <v/>
      </c>
      <c r="D26" s="14">
        <f>C26/10000</f>
        <v/>
      </c>
      <c r="E26" s="15">
        <f>100-D26</f>
        <v/>
      </c>
      <c r="F26" s="16">
        <f>A26/3</f>
        <v/>
      </c>
      <c r="G26" s="16">
        <f>B26/3</f>
        <v/>
      </c>
    </row>
    <row r="27">
      <c r="A27" t="n">
        <v>7</v>
      </c>
      <c r="B27" s="12">
        <f>A27-1.5</f>
        <v/>
      </c>
      <c r="C27" s="13">
        <f>(1-NORMSDIST(B27))*1000000</f>
        <v/>
      </c>
      <c r="D27" s="14">
        <f>C27/10000</f>
        <v/>
      </c>
      <c r="E27" s="15">
        <f>100-D27</f>
        <v/>
      </c>
      <c r="F27" s="16">
        <f>A27/3</f>
        <v/>
      </c>
      <c r="G27" s="16">
        <f>B27/3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2026-10-29T18:08:10Z</dcterms:created>
  <dcterms:modified xmlns:dcterms="http://purl.org/dc/terms/" xmlns:xsi="http://www.w3.org/2001/XMLSchema-instance" xsi:type="dcterms:W3CDTF">2026-10-29T18:08:10Z</dcterms:modified>
</cp:coreProperties>
</file>