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 chart" sheetId="1" state="visible" r:id="rId1"/>
    <sheet xmlns:r="http://schemas.openxmlformats.org/officeDocument/2006/relationships" name="u chart" sheetId="2" state="visible" r:id="rId2"/>
    <sheet xmlns:r="http://schemas.openxmlformats.org/officeDocument/2006/relationships" name="c and n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3" fillId="2" borderId="1" applyAlignment="1" pivotButton="0" quotePrefix="0" xfId="0">
      <alignment horizontal="center" wrapText="1"/>
    </xf>
    <xf numFmtId="0" fontId="0" fillId="3" borderId="0" pivotButton="0" quotePrefix="0" xfId="0"/>
    <xf numFmtId="1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 chart</a:t>
            </a:r>
          </a:p>
        </rich>
      </tx>
    </title>
    <plotArea>
      <lineChart>
        <grouping val="standard"/>
        <ser>
          <idx val="0"/>
          <order val="0"/>
          <tx>
            <strRef>
              <f>'p chart'!D4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'p chart'!$A$5:$A$29</f>
            </numRef>
          </cat>
          <val>
            <numRef>
              <f>'p chart'!$D$5:$D$29</f>
            </numRef>
          </val>
          <smooth val="0"/>
        </ser>
        <ser>
          <idx val="1"/>
          <order val="1"/>
          <tx>
            <strRef>
              <f>'p chart'!E4</f>
            </strRef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chart'!$A$5:$A$29</f>
            </numRef>
          </cat>
          <val>
            <numRef>
              <f>'p chart'!$E$5:$E$29</f>
            </numRef>
          </val>
          <smooth val="0"/>
        </ser>
        <ser>
          <idx val="2"/>
          <order val="2"/>
          <tx>
            <strRef>
              <f>'p chart'!F4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chart'!$A$5:$A$29</f>
            </numRef>
          </cat>
          <val>
            <numRef>
              <f>'p chart'!$F$5:$F$29</f>
            </numRef>
          </val>
          <smooth val="0"/>
        </ser>
        <ser>
          <idx val="3"/>
          <order val="3"/>
          <tx>
            <strRef>
              <f>'p chart'!G4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chart'!$A$5:$A$29</f>
            </numRef>
          </cat>
          <val>
            <numRef>
              <f>'p chart'!$G$5:$G$29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Proportion defective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 chart</a:t>
            </a:r>
          </a:p>
        </rich>
      </tx>
    </title>
    <plotArea>
      <lineChart>
        <grouping val="standard"/>
        <ser>
          <idx val="0"/>
          <order val="0"/>
          <tx>
            <strRef>
              <f>'u chart'!D4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'u chart'!$A$5:$A$29</f>
            </numRef>
          </cat>
          <val>
            <numRef>
              <f>'u chart'!$D$5:$D$29</f>
            </numRef>
          </val>
          <smooth val="0"/>
        </ser>
        <ser>
          <idx val="1"/>
          <order val="1"/>
          <tx>
            <strRef>
              <f>'u chart'!E4</f>
            </strRef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 chart'!$A$5:$A$29</f>
            </numRef>
          </cat>
          <val>
            <numRef>
              <f>'u chart'!$E$5:$E$29</f>
            </numRef>
          </val>
          <smooth val="0"/>
        </ser>
        <ser>
          <idx val="2"/>
          <order val="2"/>
          <tx>
            <strRef>
              <f>'u chart'!F4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 chart'!$A$5:$A$29</f>
            </numRef>
          </cat>
          <val>
            <numRef>
              <f>'u chart'!$F$5:$F$29</f>
            </numRef>
          </val>
          <smooth val="0"/>
        </ser>
        <ser>
          <idx val="3"/>
          <order val="3"/>
          <tx>
            <strRef>
              <f>'u chart'!G4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 chart'!$A$5:$A$29</f>
            </numRef>
          </cat>
          <val>
            <numRef>
              <f>'u chart'!$G$5:$G$29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Defects per unit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Chart (proportion defective)</t>
        </is>
      </c>
    </row>
    <row r="2">
      <c r="A2" s="2" t="inlineStr">
        <is>
          <t>Enter the number inspected and the number defective for up to 100 samples. Limits adjust to each sample size.</t>
        </is>
      </c>
    </row>
    <row r="3">
      <c r="A3" s="3" t="inlineStr">
        <is>
          <t>p-bar</t>
        </is>
      </c>
      <c r="B3" s="4">
        <f>SUM(C5:C104)/SUM(B5:B104)</f>
        <v/>
      </c>
    </row>
    <row r="4">
      <c r="A4" s="5" t="inlineStr">
        <is>
          <t>Sample</t>
        </is>
      </c>
      <c r="B4" s="5" t="inlineStr">
        <is>
          <t>Inspected</t>
        </is>
      </c>
      <c r="C4" s="5" t="inlineStr">
        <is>
          <t>Defective</t>
        </is>
      </c>
      <c r="D4" s="5" t="inlineStr">
        <is>
          <t>p</t>
        </is>
      </c>
      <c r="E4" s="5" t="inlineStr">
        <is>
          <t>p-bar</t>
        </is>
      </c>
      <c r="F4" s="5" t="inlineStr">
        <is>
          <t>UCL</t>
        </is>
      </c>
      <c r="G4" s="5" t="inlineStr">
        <is>
          <t>LCL</t>
        </is>
      </c>
      <c r="H4" s="5" t="inlineStr">
        <is>
          <t>Signal</t>
        </is>
      </c>
    </row>
    <row r="5">
      <c r="A5" t="n">
        <v>1</v>
      </c>
      <c r="B5" s="6" t="n">
        <v>220</v>
      </c>
      <c r="C5" s="6" t="n">
        <v>9</v>
      </c>
      <c r="D5">
        <f>IF(ISNUMBER(B5),C5/B5,NA())</f>
        <v/>
      </c>
      <c r="E5">
        <f>$B$3</f>
        <v/>
      </c>
      <c r="F5">
        <f>IF(ISNUMBER(B5),MIN(1,$B$3+3*SQRT($B$3*(1-$B$3)/B5)),NA())</f>
        <v/>
      </c>
      <c r="G5">
        <f>IF(ISNUMBER(B5),MAX(0,$B$3-3*SQRT($B$3*(1-$B$3)/B5)),NA())</f>
        <v/>
      </c>
      <c r="H5">
        <f>IF(ISNUMBER(B5),IF(OR(D5&gt;F5,D5&lt;G5),"OUT",""),"")</f>
        <v/>
      </c>
    </row>
    <row r="6">
      <c r="A6" t="n">
        <v>2</v>
      </c>
      <c r="B6" s="6" t="n">
        <v>200</v>
      </c>
      <c r="C6" s="6" t="n">
        <v>6</v>
      </c>
      <c r="D6">
        <f>IF(ISNUMBER(B6),C6/B6,NA())</f>
        <v/>
      </c>
      <c r="E6">
        <f>$B$3</f>
        <v/>
      </c>
      <c r="F6">
        <f>IF(ISNUMBER(B6),MIN(1,$B$3+3*SQRT($B$3*(1-$B$3)/B6)),NA())</f>
        <v/>
      </c>
      <c r="G6">
        <f>IF(ISNUMBER(B6),MAX(0,$B$3-3*SQRT($B$3*(1-$B$3)/B6)),NA())</f>
        <v/>
      </c>
      <c r="H6">
        <f>IF(ISNUMBER(B6),IF(OR(D6&gt;F6,D6&lt;G6),"OUT",""),"")</f>
        <v/>
      </c>
    </row>
    <row r="7">
      <c r="A7" t="n">
        <v>3</v>
      </c>
      <c r="B7" s="6" t="n">
        <v>250</v>
      </c>
      <c r="C7" s="6" t="n">
        <v>13</v>
      </c>
      <c r="D7">
        <f>IF(ISNUMBER(B7),C7/B7,NA())</f>
        <v/>
      </c>
      <c r="E7">
        <f>$B$3</f>
        <v/>
      </c>
      <c r="F7">
        <f>IF(ISNUMBER(B7),MIN(1,$B$3+3*SQRT($B$3*(1-$B$3)/B7)),NA())</f>
        <v/>
      </c>
      <c r="G7">
        <f>IF(ISNUMBER(B7),MAX(0,$B$3-3*SQRT($B$3*(1-$B$3)/B7)),NA())</f>
        <v/>
      </c>
      <c r="H7">
        <f>IF(ISNUMBER(B7),IF(OR(D7&gt;F7,D7&lt;G7),"OUT",""),"")</f>
        <v/>
      </c>
    </row>
    <row r="8">
      <c r="A8" t="n">
        <v>4</v>
      </c>
      <c r="B8" s="6" t="n">
        <v>200</v>
      </c>
      <c r="C8" s="6" t="n">
        <v>9</v>
      </c>
      <c r="D8">
        <f>IF(ISNUMBER(B8),C8/B8,NA())</f>
        <v/>
      </c>
      <c r="E8">
        <f>$B$3</f>
        <v/>
      </c>
      <c r="F8">
        <f>IF(ISNUMBER(B8),MIN(1,$B$3+3*SQRT($B$3*(1-$B$3)/B8)),NA())</f>
        <v/>
      </c>
      <c r="G8">
        <f>IF(ISNUMBER(B8),MAX(0,$B$3-3*SQRT($B$3*(1-$B$3)/B8)),NA())</f>
        <v/>
      </c>
      <c r="H8">
        <f>IF(ISNUMBER(B8),IF(OR(D8&gt;F8,D8&lt;G8),"OUT",""),"")</f>
        <v/>
      </c>
    </row>
    <row r="9">
      <c r="A9" t="n">
        <v>5</v>
      </c>
      <c r="B9" s="6" t="n">
        <v>200</v>
      </c>
      <c r="C9" s="6" t="n">
        <v>6</v>
      </c>
      <c r="D9">
        <f>IF(ISNUMBER(B9),C9/B9,NA())</f>
        <v/>
      </c>
      <c r="E9">
        <f>$B$3</f>
        <v/>
      </c>
      <c r="F9">
        <f>IF(ISNUMBER(B9),MIN(1,$B$3+3*SQRT($B$3*(1-$B$3)/B9)),NA())</f>
        <v/>
      </c>
      <c r="G9">
        <f>IF(ISNUMBER(B9),MAX(0,$B$3-3*SQRT($B$3*(1-$B$3)/B9)),NA())</f>
        <v/>
      </c>
      <c r="H9">
        <f>IF(ISNUMBER(B9),IF(OR(D9&gt;F9,D9&lt;G9),"OUT",""),"")</f>
        <v/>
      </c>
    </row>
    <row r="10">
      <c r="A10" t="n">
        <v>6</v>
      </c>
      <c r="B10" s="6" t="n">
        <v>180</v>
      </c>
      <c r="C10" s="6" t="n">
        <v>9</v>
      </c>
      <c r="D10">
        <f>IF(ISNUMBER(B10),C10/B10,NA())</f>
        <v/>
      </c>
      <c r="E10">
        <f>$B$3</f>
        <v/>
      </c>
      <c r="F10">
        <f>IF(ISNUMBER(B10),MIN(1,$B$3+3*SQRT($B$3*(1-$B$3)/B10)),NA())</f>
        <v/>
      </c>
      <c r="G10">
        <f>IF(ISNUMBER(B10),MAX(0,$B$3-3*SQRT($B$3*(1-$B$3)/B10)),NA())</f>
        <v/>
      </c>
      <c r="H10">
        <f>IF(ISNUMBER(B10),IF(OR(D10&gt;F10,D10&lt;G10),"OUT",""),"")</f>
        <v/>
      </c>
    </row>
    <row r="11">
      <c r="A11" t="n">
        <v>7</v>
      </c>
      <c r="B11" s="6" t="n">
        <v>220</v>
      </c>
      <c r="C11" s="6" t="n">
        <v>4</v>
      </c>
      <c r="D11">
        <f>IF(ISNUMBER(B11),C11/B11,NA())</f>
        <v/>
      </c>
      <c r="E11">
        <f>$B$3</f>
        <v/>
      </c>
      <c r="F11">
        <f>IF(ISNUMBER(B11),MIN(1,$B$3+3*SQRT($B$3*(1-$B$3)/B11)),NA())</f>
        <v/>
      </c>
      <c r="G11">
        <f>IF(ISNUMBER(B11),MAX(0,$B$3-3*SQRT($B$3*(1-$B$3)/B11)),NA())</f>
        <v/>
      </c>
      <c r="H11">
        <f>IF(ISNUMBER(B11),IF(OR(D11&gt;F11,D11&lt;G11),"OUT",""),"")</f>
        <v/>
      </c>
    </row>
    <row r="12">
      <c r="A12" t="n">
        <v>8</v>
      </c>
      <c r="B12" s="6" t="n">
        <v>180</v>
      </c>
      <c r="C12" s="6" t="n">
        <v>10</v>
      </c>
      <c r="D12">
        <f>IF(ISNUMBER(B12),C12/B12,NA())</f>
        <v/>
      </c>
      <c r="E12">
        <f>$B$3</f>
        <v/>
      </c>
      <c r="F12">
        <f>IF(ISNUMBER(B12),MIN(1,$B$3+3*SQRT($B$3*(1-$B$3)/B12)),NA())</f>
        <v/>
      </c>
      <c r="G12">
        <f>IF(ISNUMBER(B12),MAX(0,$B$3-3*SQRT($B$3*(1-$B$3)/B12)),NA())</f>
        <v/>
      </c>
      <c r="H12">
        <f>IF(ISNUMBER(B12),IF(OR(D12&gt;F12,D12&lt;G12),"OUT",""),"")</f>
        <v/>
      </c>
    </row>
    <row r="13">
      <c r="A13" t="n">
        <v>9</v>
      </c>
      <c r="B13" s="6" t="n">
        <v>180</v>
      </c>
      <c r="C13" s="6" t="n">
        <v>6</v>
      </c>
      <c r="D13">
        <f>IF(ISNUMBER(B13),C13/B13,NA())</f>
        <v/>
      </c>
      <c r="E13">
        <f>$B$3</f>
        <v/>
      </c>
      <c r="F13">
        <f>IF(ISNUMBER(B13),MIN(1,$B$3+3*SQRT($B$3*(1-$B$3)/B13)),NA())</f>
        <v/>
      </c>
      <c r="G13">
        <f>IF(ISNUMBER(B13),MAX(0,$B$3-3*SQRT($B$3*(1-$B$3)/B13)),NA())</f>
        <v/>
      </c>
      <c r="H13">
        <f>IF(ISNUMBER(B13),IF(OR(D13&gt;F13,D13&lt;G13),"OUT",""),"")</f>
        <v/>
      </c>
    </row>
    <row r="14">
      <c r="A14" t="n">
        <v>10</v>
      </c>
      <c r="B14" s="6" t="n">
        <v>180</v>
      </c>
      <c r="C14" s="6" t="n">
        <v>3</v>
      </c>
      <c r="D14">
        <f>IF(ISNUMBER(B14),C14/B14,NA())</f>
        <v/>
      </c>
      <c r="E14">
        <f>$B$3</f>
        <v/>
      </c>
      <c r="F14">
        <f>IF(ISNUMBER(B14),MIN(1,$B$3+3*SQRT($B$3*(1-$B$3)/B14)),NA())</f>
        <v/>
      </c>
      <c r="G14">
        <f>IF(ISNUMBER(B14),MAX(0,$B$3-3*SQRT($B$3*(1-$B$3)/B14)),NA())</f>
        <v/>
      </c>
      <c r="H14">
        <f>IF(ISNUMBER(B14),IF(OR(D14&gt;F14,D14&lt;G14),"OUT",""),"")</f>
        <v/>
      </c>
    </row>
    <row r="15">
      <c r="A15" t="n">
        <v>11</v>
      </c>
      <c r="B15" s="6" t="n">
        <v>200</v>
      </c>
      <c r="C15" s="6" t="n">
        <v>6</v>
      </c>
      <c r="D15">
        <f>IF(ISNUMBER(B15),C15/B15,NA())</f>
        <v/>
      </c>
      <c r="E15">
        <f>$B$3</f>
        <v/>
      </c>
      <c r="F15">
        <f>IF(ISNUMBER(B15),MIN(1,$B$3+3*SQRT($B$3*(1-$B$3)/B15)),NA())</f>
        <v/>
      </c>
      <c r="G15">
        <f>IF(ISNUMBER(B15),MAX(0,$B$3-3*SQRT($B$3*(1-$B$3)/B15)),NA())</f>
        <v/>
      </c>
      <c r="H15">
        <f>IF(ISNUMBER(B15),IF(OR(D15&gt;F15,D15&lt;G15),"OUT",""),"")</f>
        <v/>
      </c>
    </row>
    <row r="16">
      <c r="A16" t="n">
        <v>12</v>
      </c>
      <c r="B16" s="6" t="n">
        <v>220</v>
      </c>
      <c r="C16" s="6" t="n">
        <v>10</v>
      </c>
      <c r="D16">
        <f>IF(ISNUMBER(B16),C16/B16,NA())</f>
        <v/>
      </c>
      <c r="E16">
        <f>$B$3</f>
        <v/>
      </c>
      <c r="F16">
        <f>IF(ISNUMBER(B16),MIN(1,$B$3+3*SQRT($B$3*(1-$B$3)/B16)),NA())</f>
        <v/>
      </c>
      <c r="G16">
        <f>IF(ISNUMBER(B16),MAX(0,$B$3-3*SQRT($B$3*(1-$B$3)/B16)),NA())</f>
        <v/>
      </c>
      <c r="H16">
        <f>IF(ISNUMBER(B16),IF(OR(D16&gt;F16,D16&lt;G16),"OUT",""),"")</f>
        <v/>
      </c>
    </row>
    <row r="17">
      <c r="A17" t="n">
        <v>13</v>
      </c>
      <c r="B17" s="6" t="n">
        <v>180</v>
      </c>
      <c r="C17" s="6" t="n">
        <v>9</v>
      </c>
      <c r="D17">
        <f>IF(ISNUMBER(B17),C17/B17,NA())</f>
        <v/>
      </c>
      <c r="E17">
        <f>$B$3</f>
        <v/>
      </c>
      <c r="F17">
        <f>IF(ISNUMBER(B17),MIN(1,$B$3+3*SQRT($B$3*(1-$B$3)/B17)),NA())</f>
        <v/>
      </c>
      <c r="G17">
        <f>IF(ISNUMBER(B17),MAX(0,$B$3-3*SQRT($B$3*(1-$B$3)/B17)),NA())</f>
        <v/>
      </c>
      <c r="H17">
        <f>IF(ISNUMBER(B17),IF(OR(D17&gt;F17,D17&lt;G17),"OUT",""),"")</f>
        <v/>
      </c>
    </row>
    <row r="18">
      <c r="A18" t="n">
        <v>14</v>
      </c>
      <c r="B18" s="6" t="n">
        <v>200</v>
      </c>
      <c r="C18" s="6" t="n">
        <v>10</v>
      </c>
      <c r="D18">
        <f>IF(ISNUMBER(B18),C18/B18,NA())</f>
        <v/>
      </c>
      <c r="E18">
        <f>$B$3</f>
        <v/>
      </c>
      <c r="F18">
        <f>IF(ISNUMBER(B18),MIN(1,$B$3+3*SQRT($B$3*(1-$B$3)/B18)),NA())</f>
        <v/>
      </c>
      <c r="G18">
        <f>IF(ISNUMBER(B18),MAX(0,$B$3-3*SQRT($B$3*(1-$B$3)/B18)),NA())</f>
        <v/>
      </c>
      <c r="H18">
        <f>IF(ISNUMBER(B18),IF(OR(D18&gt;F18,D18&lt;G18),"OUT",""),"")</f>
        <v/>
      </c>
    </row>
    <row r="19">
      <c r="A19" t="n">
        <v>15</v>
      </c>
      <c r="B19" s="6" t="n">
        <v>200</v>
      </c>
      <c r="C19" s="6" t="n">
        <v>7</v>
      </c>
      <c r="D19">
        <f>IF(ISNUMBER(B19),C19/B19,NA())</f>
        <v/>
      </c>
      <c r="E19">
        <f>$B$3</f>
        <v/>
      </c>
      <c r="F19">
        <f>IF(ISNUMBER(B19),MIN(1,$B$3+3*SQRT($B$3*(1-$B$3)/B19)),NA())</f>
        <v/>
      </c>
      <c r="G19">
        <f>IF(ISNUMBER(B19),MAX(0,$B$3-3*SQRT($B$3*(1-$B$3)/B19)),NA())</f>
        <v/>
      </c>
      <c r="H19">
        <f>IF(ISNUMBER(B19),IF(OR(D19&gt;F19,D19&lt;G19),"OUT",""),"")</f>
        <v/>
      </c>
    </row>
    <row r="20">
      <c r="A20" t="n">
        <v>16</v>
      </c>
      <c r="B20" s="6" t="n">
        <v>220</v>
      </c>
      <c r="C20" s="6" t="n">
        <v>14</v>
      </c>
      <c r="D20">
        <f>IF(ISNUMBER(B20),C20/B20,NA())</f>
        <v/>
      </c>
      <c r="E20">
        <f>$B$3</f>
        <v/>
      </c>
      <c r="F20">
        <f>IF(ISNUMBER(B20),MIN(1,$B$3+3*SQRT($B$3*(1-$B$3)/B20)),NA())</f>
        <v/>
      </c>
      <c r="G20">
        <f>IF(ISNUMBER(B20),MAX(0,$B$3-3*SQRT($B$3*(1-$B$3)/B20)),NA())</f>
        <v/>
      </c>
      <c r="H20">
        <f>IF(ISNUMBER(B20),IF(OR(D20&gt;F20,D20&lt;G20),"OUT",""),"")</f>
        <v/>
      </c>
    </row>
    <row r="21">
      <c r="A21" t="n">
        <v>17</v>
      </c>
      <c r="B21" s="6" t="n">
        <v>200</v>
      </c>
      <c r="C21" s="6" t="n">
        <v>15</v>
      </c>
      <c r="D21">
        <f>IF(ISNUMBER(B21),C21/B21,NA())</f>
        <v/>
      </c>
      <c r="E21">
        <f>$B$3</f>
        <v/>
      </c>
      <c r="F21">
        <f>IF(ISNUMBER(B21),MIN(1,$B$3+3*SQRT($B$3*(1-$B$3)/B21)),NA())</f>
        <v/>
      </c>
      <c r="G21">
        <f>IF(ISNUMBER(B21),MAX(0,$B$3-3*SQRT($B$3*(1-$B$3)/B21)),NA())</f>
        <v/>
      </c>
      <c r="H21">
        <f>IF(ISNUMBER(B21),IF(OR(D21&gt;F21,D21&lt;G21),"OUT",""),"")</f>
        <v/>
      </c>
    </row>
    <row r="22">
      <c r="A22" t="n">
        <v>18</v>
      </c>
      <c r="B22" s="6" t="n">
        <v>200</v>
      </c>
      <c r="C22" s="6" t="n">
        <v>18</v>
      </c>
      <c r="D22">
        <f>IF(ISNUMBER(B22),C22/B22,NA())</f>
        <v/>
      </c>
      <c r="E22">
        <f>$B$3</f>
        <v/>
      </c>
      <c r="F22">
        <f>IF(ISNUMBER(B22),MIN(1,$B$3+3*SQRT($B$3*(1-$B$3)/B22)),NA())</f>
        <v/>
      </c>
      <c r="G22">
        <f>IF(ISNUMBER(B22),MAX(0,$B$3-3*SQRT($B$3*(1-$B$3)/B22)),NA())</f>
        <v/>
      </c>
      <c r="H22">
        <f>IF(ISNUMBER(B22),IF(OR(D22&gt;F22,D22&lt;G22),"OUT",""),"")</f>
        <v/>
      </c>
    </row>
    <row r="23">
      <c r="A23" t="n">
        <v>19</v>
      </c>
      <c r="B23" s="6" t="n">
        <v>220</v>
      </c>
      <c r="C23" s="6" t="n">
        <v>8</v>
      </c>
      <c r="D23">
        <f>IF(ISNUMBER(B23),C23/B23,NA())</f>
        <v/>
      </c>
      <c r="E23">
        <f>$B$3</f>
        <v/>
      </c>
      <c r="F23">
        <f>IF(ISNUMBER(B23),MIN(1,$B$3+3*SQRT($B$3*(1-$B$3)/B23)),NA())</f>
        <v/>
      </c>
      <c r="G23">
        <f>IF(ISNUMBER(B23),MAX(0,$B$3-3*SQRT($B$3*(1-$B$3)/B23)),NA())</f>
        <v/>
      </c>
      <c r="H23">
        <f>IF(ISNUMBER(B23),IF(OR(D23&gt;F23,D23&lt;G23),"OUT",""),"")</f>
        <v/>
      </c>
    </row>
    <row r="24">
      <c r="A24" t="n">
        <v>20</v>
      </c>
      <c r="B24" s="6" t="n">
        <v>250</v>
      </c>
      <c r="C24" s="6" t="n">
        <v>14</v>
      </c>
      <c r="D24">
        <f>IF(ISNUMBER(B24),C24/B24,NA())</f>
        <v/>
      </c>
      <c r="E24">
        <f>$B$3</f>
        <v/>
      </c>
      <c r="F24">
        <f>IF(ISNUMBER(B24),MIN(1,$B$3+3*SQRT($B$3*(1-$B$3)/B24)),NA())</f>
        <v/>
      </c>
      <c r="G24">
        <f>IF(ISNUMBER(B24),MAX(0,$B$3-3*SQRT($B$3*(1-$B$3)/B24)),NA())</f>
        <v/>
      </c>
      <c r="H24">
        <f>IF(ISNUMBER(B24),IF(OR(D24&gt;F24,D24&lt;G24),"OUT",""),"")</f>
        <v/>
      </c>
    </row>
    <row r="25">
      <c r="A25" t="n">
        <v>21</v>
      </c>
      <c r="B25" s="6" t="n">
        <v>220</v>
      </c>
      <c r="C25" s="6" t="n">
        <v>8</v>
      </c>
      <c r="D25">
        <f>IF(ISNUMBER(B25),C25/B25,NA())</f>
        <v/>
      </c>
      <c r="E25">
        <f>$B$3</f>
        <v/>
      </c>
      <c r="F25">
        <f>IF(ISNUMBER(B25),MIN(1,$B$3+3*SQRT($B$3*(1-$B$3)/B25)),NA())</f>
        <v/>
      </c>
      <c r="G25">
        <f>IF(ISNUMBER(B25),MAX(0,$B$3-3*SQRT($B$3*(1-$B$3)/B25)),NA())</f>
        <v/>
      </c>
      <c r="H25">
        <f>IF(ISNUMBER(B25),IF(OR(D25&gt;F25,D25&lt;G25),"OUT",""),"")</f>
        <v/>
      </c>
    </row>
    <row r="26">
      <c r="A26" t="n">
        <v>22</v>
      </c>
      <c r="B26" s="6" t="n">
        <v>200</v>
      </c>
      <c r="C26" s="6" t="n">
        <v>12</v>
      </c>
      <c r="D26">
        <f>IF(ISNUMBER(B26),C26/B26,NA())</f>
        <v/>
      </c>
      <c r="E26">
        <f>$B$3</f>
        <v/>
      </c>
      <c r="F26">
        <f>IF(ISNUMBER(B26),MIN(1,$B$3+3*SQRT($B$3*(1-$B$3)/B26)),NA())</f>
        <v/>
      </c>
      <c r="G26">
        <f>IF(ISNUMBER(B26),MAX(0,$B$3-3*SQRT($B$3*(1-$B$3)/B26)),NA())</f>
        <v/>
      </c>
      <c r="H26">
        <f>IF(ISNUMBER(B26),IF(OR(D26&gt;F26,D26&lt;G26),"OUT",""),"")</f>
        <v/>
      </c>
    </row>
    <row r="27">
      <c r="A27" t="n">
        <v>23</v>
      </c>
      <c r="B27" s="6" t="n">
        <v>250</v>
      </c>
      <c r="C27" s="6" t="n">
        <v>8</v>
      </c>
      <c r="D27">
        <f>IF(ISNUMBER(B27),C27/B27,NA())</f>
        <v/>
      </c>
      <c r="E27">
        <f>$B$3</f>
        <v/>
      </c>
      <c r="F27">
        <f>IF(ISNUMBER(B27),MIN(1,$B$3+3*SQRT($B$3*(1-$B$3)/B27)),NA())</f>
        <v/>
      </c>
      <c r="G27">
        <f>IF(ISNUMBER(B27),MAX(0,$B$3-3*SQRT($B$3*(1-$B$3)/B27)),NA())</f>
        <v/>
      </c>
      <c r="H27">
        <f>IF(ISNUMBER(B27),IF(OR(D27&gt;F27,D27&lt;G27),"OUT",""),"")</f>
        <v/>
      </c>
    </row>
    <row r="28">
      <c r="A28" t="n">
        <v>24</v>
      </c>
      <c r="B28" s="6" t="n">
        <v>220</v>
      </c>
      <c r="C28" s="6" t="n">
        <v>7</v>
      </c>
      <c r="D28">
        <f>IF(ISNUMBER(B28),C28/B28,NA())</f>
        <v/>
      </c>
      <c r="E28">
        <f>$B$3</f>
        <v/>
      </c>
      <c r="F28">
        <f>IF(ISNUMBER(B28),MIN(1,$B$3+3*SQRT($B$3*(1-$B$3)/B28)),NA())</f>
        <v/>
      </c>
      <c r="G28">
        <f>IF(ISNUMBER(B28),MAX(0,$B$3-3*SQRT($B$3*(1-$B$3)/B28)),NA())</f>
        <v/>
      </c>
      <c r="H28">
        <f>IF(ISNUMBER(B28),IF(OR(D28&gt;F28,D28&lt;G28),"OUT",""),"")</f>
        <v/>
      </c>
    </row>
    <row r="29">
      <c r="A29" t="n">
        <v>25</v>
      </c>
      <c r="B29" s="6" t="n">
        <v>220</v>
      </c>
      <c r="C29" s="6" t="n">
        <v>13</v>
      </c>
      <c r="D29">
        <f>IF(ISNUMBER(B29),C29/B29,NA())</f>
        <v/>
      </c>
      <c r="E29">
        <f>$B$3</f>
        <v/>
      </c>
      <c r="F29">
        <f>IF(ISNUMBER(B29),MIN(1,$B$3+3*SQRT($B$3*(1-$B$3)/B29)),NA())</f>
        <v/>
      </c>
      <c r="G29">
        <f>IF(ISNUMBER(B29),MAX(0,$B$3-3*SQRT($B$3*(1-$B$3)/B29)),NA())</f>
        <v/>
      </c>
      <c r="H29">
        <f>IF(ISNUMBER(B29),IF(OR(D29&gt;F29,D29&lt;G29),"OUT",""),"")</f>
        <v/>
      </c>
    </row>
    <row r="30">
      <c r="A30" t="n">
        <v>26</v>
      </c>
      <c r="B30" s="6" t="n"/>
      <c r="C30" s="6" t="n"/>
      <c r="D30">
        <f>IF(ISNUMBER(B30),C30/B30,NA())</f>
        <v/>
      </c>
      <c r="E30">
        <f>$B$3</f>
        <v/>
      </c>
      <c r="F30">
        <f>IF(ISNUMBER(B30),MIN(1,$B$3+3*SQRT($B$3*(1-$B$3)/B30)),NA())</f>
        <v/>
      </c>
      <c r="G30">
        <f>IF(ISNUMBER(B30),MAX(0,$B$3-3*SQRT($B$3*(1-$B$3)/B30)),NA())</f>
        <v/>
      </c>
      <c r="H30">
        <f>IF(ISNUMBER(B30),IF(OR(D30&gt;F30,D30&lt;G30),"OUT",""),"")</f>
        <v/>
      </c>
    </row>
    <row r="31">
      <c r="A31" t="n">
        <v>27</v>
      </c>
      <c r="B31" s="6" t="n"/>
      <c r="C31" s="6" t="n"/>
      <c r="D31">
        <f>IF(ISNUMBER(B31),C31/B31,NA())</f>
        <v/>
      </c>
      <c r="E31">
        <f>$B$3</f>
        <v/>
      </c>
      <c r="F31">
        <f>IF(ISNUMBER(B31),MIN(1,$B$3+3*SQRT($B$3*(1-$B$3)/B31)),NA())</f>
        <v/>
      </c>
      <c r="G31">
        <f>IF(ISNUMBER(B31),MAX(0,$B$3-3*SQRT($B$3*(1-$B$3)/B31)),NA())</f>
        <v/>
      </c>
      <c r="H31">
        <f>IF(ISNUMBER(B31),IF(OR(D31&gt;F31,D31&lt;G31),"OUT",""),"")</f>
        <v/>
      </c>
    </row>
    <row r="32">
      <c r="A32" t="n">
        <v>28</v>
      </c>
      <c r="B32" s="6" t="n"/>
      <c r="C32" s="6" t="n"/>
      <c r="D32">
        <f>IF(ISNUMBER(B32),C32/B32,NA())</f>
        <v/>
      </c>
      <c r="E32">
        <f>$B$3</f>
        <v/>
      </c>
      <c r="F32">
        <f>IF(ISNUMBER(B32),MIN(1,$B$3+3*SQRT($B$3*(1-$B$3)/B32)),NA())</f>
        <v/>
      </c>
      <c r="G32">
        <f>IF(ISNUMBER(B32),MAX(0,$B$3-3*SQRT($B$3*(1-$B$3)/B32)),NA())</f>
        <v/>
      </c>
      <c r="H32">
        <f>IF(ISNUMBER(B32),IF(OR(D32&gt;F32,D32&lt;G32),"OUT",""),"")</f>
        <v/>
      </c>
    </row>
    <row r="33">
      <c r="A33" t="n">
        <v>29</v>
      </c>
      <c r="B33" s="6" t="n"/>
      <c r="C33" s="6" t="n"/>
      <c r="D33">
        <f>IF(ISNUMBER(B33),C33/B33,NA())</f>
        <v/>
      </c>
      <c r="E33">
        <f>$B$3</f>
        <v/>
      </c>
      <c r="F33">
        <f>IF(ISNUMBER(B33),MIN(1,$B$3+3*SQRT($B$3*(1-$B$3)/B33)),NA())</f>
        <v/>
      </c>
      <c r="G33">
        <f>IF(ISNUMBER(B33),MAX(0,$B$3-3*SQRT($B$3*(1-$B$3)/B33)),NA())</f>
        <v/>
      </c>
      <c r="H33">
        <f>IF(ISNUMBER(B33),IF(OR(D33&gt;F33,D33&lt;G33),"OUT",""),"")</f>
        <v/>
      </c>
    </row>
    <row r="34">
      <c r="A34" t="n">
        <v>30</v>
      </c>
      <c r="B34" s="6" t="n"/>
      <c r="C34" s="6" t="n"/>
      <c r="D34">
        <f>IF(ISNUMBER(B34),C34/B34,NA())</f>
        <v/>
      </c>
      <c r="E34">
        <f>$B$3</f>
        <v/>
      </c>
      <c r="F34">
        <f>IF(ISNUMBER(B34),MIN(1,$B$3+3*SQRT($B$3*(1-$B$3)/B34)),NA())</f>
        <v/>
      </c>
      <c r="G34">
        <f>IF(ISNUMBER(B34),MAX(0,$B$3-3*SQRT($B$3*(1-$B$3)/B34)),NA())</f>
        <v/>
      </c>
      <c r="H34">
        <f>IF(ISNUMBER(B34),IF(OR(D34&gt;F34,D34&lt;G34),"OUT",""),"")</f>
        <v/>
      </c>
    </row>
    <row r="35">
      <c r="A35" t="n">
        <v>31</v>
      </c>
      <c r="B35" s="6" t="n"/>
      <c r="C35" s="6" t="n"/>
      <c r="D35">
        <f>IF(ISNUMBER(B35),C35/B35,NA())</f>
        <v/>
      </c>
      <c r="E35">
        <f>$B$3</f>
        <v/>
      </c>
      <c r="F35">
        <f>IF(ISNUMBER(B35),MIN(1,$B$3+3*SQRT($B$3*(1-$B$3)/B35)),NA())</f>
        <v/>
      </c>
      <c r="G35">
        <f>IF(ISNUMBER(B35),MAX(0,$B$3-3*SQRT($B$3*(1-$B$3)/B35)),NA())</f>
        <v/>
      </c>
      <c r="H35">
        <f>IF(ISNUMBER(B35),IF(OR(D35&gt;F35,D35&lt;G35),"OUT",""),"")</f>
        <v/>
      </c>
    </row>
    <row r="36">
      <c r="A36" t="n">
        <v>32</v>
      </c>
      <c r="B36" s="6" t="n"/>
      <c r="C36" s="6" t="n"/>
      <c r="D36">
        <f>IF(ISNUMBER(B36),C36/B36,NA())</f>
        <v/>
      </c>
      <c r="E36">
        <f>$B$3</f>
        <v/>
      </c>
      <c r="F36">
        <f>IF(ISNUMBER(B36),MIN(1,$B$3+3*SQRT($B$3*(1-$B$3)/B36)),NA())</f>
        <v/>
      </c>
      <c r="G36">
        <f>IF(ISNUMBER(B36),MAX(0,$B$3-3*SQRT($B$3*(1-$B$3)/B36)),NA())</f>
        <v/>
      </c>
      <c r="H36">
        <f>IF(ISNUMBER(B36),IF(OR(D36&gt;F36,D36&lt;G36),"OUT",""),"")</f>
        <v/>
      </c>
    </row>
    <row r="37">
      <c r="A37" t="n">
        <v>33</v>
      </c>
      <c r="B37" s="6" t="n"/>
      <c r="C37" s="6" t="n"/>
      <c r="D37">
        <f>IF(ISNUMBER(B37),C37/B37,NA())</f>
        <v/>
      </c>
      <c r="E37">
        <f>$B$3</f>
        <v/>
      </c>
      <c r="F37">
        <f>IF(ISNUMBER(B37),MIN(1,$B$3+3*SQRT($B$3*(1-$B$3)/B37)),NA())</f>
        <v/>
      </c>
      <c r="G37">
        <f>IF(ISNUMBER(B37),MAX(0,$B$3-3*SQRT($B$3*(1-$B$3)/B37)),NA())</f>
        <v/>
      </c>
      <c r="H37">
        <f>IF(ISNUMBER(B37),IF(OR(D37&gt;F37,D37&lt;G37),"OUT",""),"")</f>
        <v/>
      </c>
    </row>
    <row r="38">
      <c r="A38" t="n">
        <v>34</v>
      </c>
      <c r="B38" s="6" t="n"/>
      <c r="C38" s="6" t="n"/>
      <c r="D38">
        <f>IF(ISNUMBER(B38),C38/B38,NA())</f>
        <v/>
      </c>
      <c r="E38">
        <f>$B$3</f>
        <v/>
      </c>
      <c r="F38">
        <f>IF(ISNUMBER(B38),MIN(1,$B$3+3*SQRT($B$3*(1-$B$3)/B38)),NA())</f>
        <v/>
      </c>
      <c r="G38">
        <f>IF(ISNUMBER(B38),MAX(0,$B$3-3*SQRT($B$3*(1-$B$3)/B38)),NA())</f>
        <v/>
      </c>
      <c r="H38">
        <f>IF(ISNUMBER(B38),IF(OR(D38&gt;F38,D38&lt;G38),"OUT",""),"")</f>
        <v/>
      </c>
    </row>
    <row r="39">
      <c r="A39" t="n">
        <v>35</v>
      </c>
      <c r="B39" s="6" t="n"/>
      <c r="C39" s="6" t="n"/>
      <c r="D39">
        <f>IF(ISNUMBER(B39),C39/B39,NA())</f>
        <v/>
      </c>
      <c r="E39">
        <f>$B$3</f>
        <v/>
      </c>
      <c r="F39">
        <f>IF(ISNUMBER(B39),MIN(1,$B$3+3*SQRT($B$3*(1-$B$3)/B39)),NA())</f>
        <v/>
      </c>
      <c r="G39">
        <f>IF(ISNUMBER(B39),MAX(0,$B$3-3*SQRT($B$3*(1-$B$3)/B39)),NA())</f>
        <v/>
      </c>
      <c r="H39">
        <f>IF(ISNUMBER(B39),IF(OR(D39&gt;F39,D39&lt;G39),"OUT",""),"")</f>
        <v/>
      </c>
    </row>
    <row r="40">
      <c r="A40" t="n">
        <v>36</v>
      </c>
      <c r="B40" s="6" t="n"/>
      <c r="C40" s="6" t="n"/>
      <c r="D40">
        <f>IF(ISNUMBER(B40),C40/B40,NA())</f>
        <v/>
      </c>
      <c r="E40">
        <f>$B$3</f>
        <v/>
      </c>
      <c r="F40">
        <f>IF(ISNUMBER(B40),MIN(1,$B$3+3*SQRT($B$3*(1-$B$3)/B40)),NA())</f>
        <v/>
      </c>
      <c r="G40">
        <f>IF(ISNUMBER(B40),MAX(0,$B$3-3*SQRT($B$3*(1-$B$3)/B40)),NA())</f>
        <v/>
      </c>
      <c r="H40">
        <f>IF(ISNUMBER(B40),IF(OR(D40&gt;F40,D40&lt;G40),"OUT",""),"")</f>
        <v/>
      </c>
    </row>
    <row r="41">
      <c r="A41" t="n">
        <v>37</v>
      </c>
      <c r="B41" s="6" t="n"/>
      <c r="C41" s="6" t="n"/>
      <c r="D41">
        <f>IF(ISNUMBER(B41),C41/B41,NA())</f>
        <v/>
      </c>
      <c r="E41">
        <f>$B$3</f>
        <v/>
      </c>
      <c r="F41">
        <f>IF(ISNUMBER(B41),MIN(1,$B$3+3*SQRT($B$3*(1-$B$3)/B41)),NA())</f>
        <v/>
      </c>
      <c r="G41">
        <f>IF(ISNUMBER(B41),MAX(0,$B$3-3*SQRT($B$3*(1-$B$3)/B41)),NA())</f>
        <v/>
      </c>
      <c r="H41">
        <f>IF(ISNUMBER(B41),IF(OR(D41&gt;F41,D41&lt;G41),"OUT",""),"")</f>
        <v/>
      </c>
    </row>
    <row r="42">
      <c r="A42" t="n">
        <v>38</v>
      </c>
      <c r="B42" s="6" t="n"/>
      <c r="C42" s="6" t="n"/>
      <c r="D42">
        <f>IF(ISNUMBER(B42),C42/B42,NA())</f>
        <v/>
      </c>
      <c r="E42">
        <f>$B$3</f>
        <v/>
      </c>
      <c r="F42">
        <f>IF(ISNUMBER(B42),MIN(1,$B$3+3*SQRT($B$3*(1-$B$3)/B42)),NA())</f>
        <v/>
      </c>
      <c r="G42">
        <f>IF(ISNUMBER(B42),MAX(0,$B$3-3*SQRT($B$3*(1-$B$3)/B42)),NA())</f>
        <v/>
      </c>
      <c r="H42">
        <f>IF(ISNUMBER(B42),IF(OR(D42&gt;F42,D42&lt;G42),"OUT",""),"")</f>
        <v/>
      </c>
    </row>
    <row r="43">
      <c r="A43" t="n">
        <v>39</v>
      </c>
      <c r="B43" s="6" t="n"/>
      <c r="C43" s="6" t="n"/>
      <c r="D43">
        <f>IF(ISNUMBER(B43),C43/B43,NA())</f>
        <v/>
      </c>
      <c r="E43">
        <f>$B$3</f>
        <v/>
      </c>
      <c r="F43">
        <f>IF(ISNUMBER(B43),MIN(1,$B$3+3*SQRT($B$3*(1-$B$3)/B43)),NA())</f>
        <v/>
      </c>
      <c r="G43">
        <f>IF(ISNUMBER(B43),MAX(0,$B$3-3*SQRT($B$3*(1-$B$3)/B43)),NA())</f>
        <v/>
      </c>
      <c r="H43">
        <f>IF(ISNUMBER(B43),IF(OR(D43&gt;F43,D43&lt;G43),"OUT",""),"")</f>
        <v/>
      </c>
    </row>
    <row r="44">
      <c r="A44" t="n">
        <v>40</v>
      </c>
      <c r="B44" s="6" t="n"/>
      <c r="C44" s="6" t="n"/>
      <c r="D44">
        <f>IF(ISNUMBER(B44),C44/B44,NA())</f>
        <v/>
      </c>
      <c r="E44">
        <f>$B$3</f>
        <v/>
      </c>
      <c r="F44">
        <f>IF(ISNUMBER(B44),MIN(1,$B$3+3*SQRT($B$3*(1-$B$3)/B44)),NA())</f>
        <v/>
      </c>
      <c r="G44">
        <f>IF(ISNUMBER(B44),MAX(0,$B$3-3*SQRT($B$3*(1-$B$3)/B44)),NA())</f>
        <v/>
      </c>
      <c r="H44">
        <f>IF(ISNUMBER(B44),IF(OR(D44&gt;F44,D44&lt;G44),"OUT",""),"")</f>
        <v/>
      </c>
    </row>
    <row r="45">
      <c r="A45" t="n">
        <v>41</v>
      </c>
      <c r="B45" s="6" t="n"/>
      <c r="C45" s="6" t="n"/>
      <c r="D45">
        <f>IF(ISNUMBER(B45),C45/B45,NA())</f>
        <v/>
      </c>
      <c r="E45">
        <f>$B$3</f>
        <v/>
      </c>
      <c r="F45">
        <f>IF(ISNUMBER(B45),MIN(1,$B$3+3*SQRT($B$3*(1-$B$3)/B45)),NA())</f>
        <v/>
      </c>
      <c r="G45">
        <f>IF(ISNUMBER(B45),MAX(0,$B$3-3*SQRT($B$3*(1-$B$3)/B45)),NA())</f>
        <v/>
      </c>
      <c r="H45">
        <f>IF(ISNUMBER(B45),IF(OR(D45&gt;F45,D45&lt;G45),"OUT",""),"")</f>
        <v/>
      </c>
    </row>
    <row r="46">
      <c r="A46" t="n">
        <v>42</v>
      </c>
      <c r="B46" s="6" t="n"/>
      <c r="C46" s="6" t="n"/>
      <c r="D46">
        <f>IF(ISNUMBER(B46),C46/B46,NA())</f>
        <v/>
      </c>
      <c r="E46">
        <f>$B$3</f>
        <v/>
      </c>
      <c r="F46">
        <f>IF(ISNUMBER(B46),MIN(1,$B$3+3*SQRT($B$3*(1-$B$3)/B46)),NA())</f>
        <v/>
      </c>
      <c r="G46">
        <f>IF(ISNUMBER(B46),MAX(0,$B$3-3*SQRT($B$3*(1-$B$3)/B46)),NA())</f>
        <v/>
      </c>
      <c r="H46">
        <f>IF(ISNUMBER(B46),IF(OR(D46&gt;F46,D46&lt;G46),"OUT",""),"")</f>
        <v/>
      </c>
    </row>
    <row r="47">
      <c r="A47" t="n">
        <v>43</v>
      </c>
      <c r="B47" s="6" t="n"/>
      <c r="C47" s="6" t="n"/>
      <c r="D47">
        <f>IF(ISNUMBER(B47),C47/B47,NA())</f>
        <v/>
      </c>
      <c r="E47">
        <f>$B$3</f>
        <v/>
      </c>
      <c r="F47">
        <f>IF(ISNUMBER(B47),MIN(1,$B$3+3*SQRT($B$3*(1-$B$3)/B47)),NA())</f>
        <v/>
      </c>
      <c r="G47">
        <f>IF(ISNUMBER(B47),MAX(0,$B$3-3*SQRT($B$3*(1-$B$3)/B47)),NA())</f>
        <v/>
      </c>
      <c r="H47">
        <f>IF(ISNUMBER(B47),IF(OR(D47&gt;F47,D47&lt;G47),"OUT",""),"")</f>
        <v/>
      </c>
    </row>
    <row r="48">
      <c r="A48" t="n">
        <v>44</v>
      </c>
      <c r="B48" s="6" t="n"/>
      <c r="C48" s="6" t="n"/>
      <c r="D48">
        <f>IF(ISNUMBER(B48),C48/B48,NA())</f>
        <v/>
      </c>
      <c r="E48">
        <f>$B$3</f>
        <v/>
      </c>
      <c r="F48">
        <f>IF(ISNUMBER(B48),MIN(1,$B$3+3*SQRT($B$3*(1-$B$3)/B48)),NA())</f>
        <v/>
      </c>
      <c r="G48">
        <f>IF(ISNUMBER(B48),MAX(0,$B$3-3*SQRT($B$3*(1-$B$3)/B48)),NA())</f>
        <v/>
      </c>
      <c r="H48">
        <f>IF(ISNUMBER(B48),IF(OR(D48&gt;F48,D48&lt;G48),"OUT",""),"")</f>
        <v/>
      </c>
    </row>
    <row r="49">
      <c r="A49" t="n">
        <v>45</v>
      </c>
      <c r="B49" s="6" t="n"/>
      <c r="C49" s="6" t="n"/>
      <c r="D49">
        <f>IF(ISNUMBER(B49),C49/B49,NA())</f>
        <v/>
      </c>
      <c r="E49">
        <f>$B$3</f>
        <v/>
      </c>
      <c r="F49">
        <f>IF(ISNUMBER(B49),MIN(1,$B$3+3*SQRT($B$3*(1-$B$3)/B49)),NA())</f>
        <v/>
      </c>
      <c r="G49">
        <f>IF(ISNUMBER(B49),MAX(0,$B$3-3*SQRT($B$3*(1-$B$3)/B49)),NA())</f>
        <v/>
      </c>
      <c r="H49">
        <f>IF(ISNUMBER(B49),IF(OR(D49&gt;F49,D49&lt;G49),"OUT",""),"")</f>
        <v/>
      </c>
    </row>
    <row r="50">
      <c r="A50" t="n">
        <v>46</v>
      </c>
      <c r="B50" s="6" t="n"/>
      <c r="C50" s="6" t="n"/>
      <c r="D50">
        <f>IF(ISNUMBER(B50),C50/B50,NA())</f>
        <v/>
      </c>
      <c r="E50">
        <f>$B$3</f>
        <v/>
      </c>
      <c r="F50">
        <f>IF(ISNUMBER(B50),MIN(1,$B$3+3*SQRT($B$3*(1-$B$3)/B50)),NA())</f>
        <v/>
      </c>
      <c r="G50">
        <f>IF(ISNUMBER(B50),MAX(0,$B$3-3*SQRT($B$3*(1-$B$3)/B50)),NA())</f>
        <v/>
      </c>
      <c r="H50">
        <f>IF(ISNUMBER(B50),IF(OR(D50&gt;F50,D50&lt;G50),"OUT",""),"")</f>
        <v/>
      </c>
    </row>
    <row r="51">
      <c r="A51" t="n">
        <v>47</v>
      </c>
      <c r="B51" s="6" t="n"/>
      <c r="C51" s="6" t="n"/>
      <c r="D51">
        <f>IF(ISNUMBER(B51),C51/B51,NA())</f>
        <v/>
      </c>
      <c r="E51">
        <f>$B$3</f>
        <v/>
      </c>
      <c r="F51">
        <f>IF(ISNUMBER(B51),MIN(1,$B$3+3*SQRT($B$3*(1-$B$3)/B51)),NA())</f>
        <v/>
      </c>
      <c r="G51">
        <f>IF(ISNUMBER(B51),MAX(0,$B$3-3*SQRT($B$3*(1-$B$3)/B51)),NA())</f>
        <v/>
      </c>
      <c r="H51">
        <f>IF(ISNUMBER(B51),IF(OR(D51&gt;F51,D51&lt;G51),"OUT",""),"")</f>
        <v/>
      </c>
    </row>
    <row r="52">
      <c r="A52" t="n">
        <v>48</v>
      </c>
      <c r="B52" s="6" t="n"/>
      <c r="C52" s="6" t="n"/>
      <c r="D52">
        <f>IF(ISNUMBER(B52),C52/B52,NA())</f>
        <v/>
      </c>
      <c r="E52">
        <f>$B$3</f>
        <v/>
      </c>
      <c r="F52">
        <f>IF(ISNUMBER(B52),MIN(1,$B$3+3*SQRT($B$3*(1-$B$3)/B52)),NA())</f>
        <v/>
      </c>
      <c r="G52">
        <f>IF(ISNUMBER(B52),MAX(0,$B$3-3*SQRT($B$3*(1-$B$3)/B52)),NA())</f>
        <v/>
      </c>
      <c r="H52">
        <f>IF(ISNUMBER(B52),IF(OR(D52&gt;F52,D52&lt;G52),"OUT",""),"")</f>
        <v/>
      </c>
    </row>
    <row r="53">
      <c r="A53" t="n">
        <v>49</v>
      </c>
      <c r="B53" s="6" t="n"/>
      <c r="C53" s="6" t="n"/>
      <c r="D53">
        <f>IF(ISNUMBER(B53),C53/B53,NA())</f>
        <v/>
      </c>
      <c r="E53">
        <f>$B$3</f>
        <v/>
      </c>
      <c r="F53">
        <f>IF(ISNUMBER(B53),MIN(1,$B$3+3*SQRT($B$3*(1-$B$3)/B53)),NA())</f>
        <v/>
      </c>
      <c r="G53">
        <f>IF(ISNUMBER(B53),MAX(0,$B$3-3*SQRT($B$3*(1-$B$3)/B53)),NA())</f>
        <v/>
      </c>
      <c r="H53">
        <f>IF(ISNUMBER(B53),IF(OR(D53&gt;F53,D53&lt;G53),"OUT",""),"")</f>
        <v/>
      </c>
    </row>
    <row r="54">
      <c r="A54" t="n">
        <v>50</v>
      </c>
      <c r="B54" s="6" t="n"/>
      <c r="C54" s="6" t="n"/>
      <c r="D54">
        <f>IF(ISNUMBER(B54),C54/B54,NA())</f>
        <v/>
      </c>
      <c r="E54">
        <f>$B$3</f>
        <v/>
      </c>
      <c r="F54">
        <f>IF(ISNUMBER(B54),MIN(1,$B$3+3*SQRT($B$3*(1-$B$3)/B54)),NA())</f>
        <v/>
      </c>
      <c r="G54">
        <f>IF(ISNUMBER(B54),MAX(0,$B$3-3*SQRT($B$3*(1-$B$3)/B54)),NA())</f>
        <v/>
      </c>
      <c r="H54">
        <f>IF(ISNUMBER(B54),IF(OR(D54&gt;F54,D54&lt;G54),"OUT",""),"")</f>
        <v/>
      </c>
    </row>
    <row r="55">
      <c r="A55" t="n">
        <v>51</v>
      </c>
      <c r="B55" s="6" t="n"/>
      <c r="C55" s="6" t="n"/>
      <c r="D55">
        <f>IF(ISNUMBER(B55),C55/B55,NA())</f>
        <v/>
      </c>
      <c r="E55">
        <f>$B$3</f>
        <v/>
      </c>
      <c r="F55">
        <f>IF(ISNUMBER(B55),MIN(1,$B$3+3*SQRT($B$3*(1-$B$3)/B55)),NA())</f>
        <v/>
      </c>
      <c r="G55">
        <f>IF(ISNUMBER(B55),MAX(0,$B$3-3*SQRT($B$3*(1-$B$3)/B55)),NA())</f>
        <v/>
      </c>
      <c r="H55">
        <f>IF(ISNUMBER(B55),IF(OR(D55&gt;F55,D55&lt;G55),"OUT",""),"")</f>
        <v/>
      </c>
    </row>
    <row r="56">
      <c r="A56" t="n">
        <v>52</v>
      </c>
      <c r="B56" s="6" t="n"/>
      <c r="C56" s="6" t="n"/>
      <c r="D56">
        <f>IF(ISNUMBER(B56),C56/B56,NA())</f>
        <v/>
      </c>
      <c r="E56">
        <f>$B$3</f>
        <v/>
      </c>
      <c r="F56">
        <f>IF(ISNUMBER(B56),MIN(1,$B$3+3*SQRT($B$3*(1-$B$3)/B56)),NA())</f>
        <v/>
      </c>
      <c r="G56">
        <f>IF(ISNUMBER(B56),MAX(0,$B$3-3*SQRT($B$3*(1-$B$3)/B56)),NA())</f>
        <v/>
      </c>
      <c r="H56">
        <f>IF(ISNUMBER(B56),IF(OR(D56&gt;F56,D56&lt;G56),"OUT",""),"")</f>
        <v/>
      </c>
    </row>
    <row r="57">
      <c r="A57" t="n">
        <v>53</v>
      </c>
      <c r="B57" s="6" t="n"/>
      <c r="C57" s="6" t="n"/>
      <c r="D57">
        <f>IF(ISNUMBER(B57),C57/B57,NA())</f>
        <v/>
      </c>
      <c r="E57">
        <f>$B$3</f>
        <v/>
      </c>
      <c r="F57">
        <f>IF(ISNUMBER(B57),MIN(1,$B$3+3*SQRT($B$3*(1-$B$3)/B57)),NA())</f>
        <v/>
      </c>
      <c r="G57">
        <f>IF(ISNUMBER(B57),MAX(0,$B$3-3*SQRT($B$3*(1-$B$3)/B57)),NA())</f>
        <v/>
      </c>
      <c r="H57">
        <f>IF(ISNUMBER(B57),IF(OR(D57&gt;F57,D57&lt;G57),"OUT",""),"")</f>
        <v/>
      </c>
    </row>
    <row r="58">
      <c r="A58" t="n">
        <v>54</v>
      </c>
      <c r="B58" s="6" t="n"/>
      <c r="C58" s="6" t="n"/>
      <c r="D58">
        <f>IF(ISNUMBER(B58),C58/B58,NA())</f>
        <v/>
      </c>
      <c r="E58">
        <f>$B$3</f>
        <v/>
      </c>
      <c r="F58">
        <f>IF(ISNUMBER(B58),MIN(1,$B$3+3*SQRT($B$3*(1-$B$3)/B58)),NA())</f>
        <v/>
      </c>
      <c r="G58">
        <f>IF(ISNUMBER(B58),MAX(0,$B$3-3*SQRT($B$3*(1-$B$3)/B58)),NA())</f>
        <v/>
      </c>
      <c r="H58">
        <f>IF(ISNUMBER(B58),IF(OR(D58&gt;F58,D58&lt;G58),"OUT",""),"")</f>
        <v/>
      </c>
    </row>
    <row r="59">
      <c r="A59" t="n">
        <v>55</v>
      </c>
      <c r="B59" s="6" t="n"/>
      <c r="C59" s="6" t="n"/>
      <c r="D59">
        <f>IF(ISNUMBER(B59),C59/B59,NA())</f>
        <v/>
      </c>
      <c r="E59">
        <f>$B$3</f>
        <v/>
      </c>
      <c r="F59">
        <f>IF(ISNUMBER(B59),MIN(1,$B$3+3*SQRT($B$3*(1-$B$3)/B59)),NA())</f>
        <v/>
      </c>
      <c r="G59">
        <f>IF(ISNUMBER(B59),MAX(0,$B$3-3*SQRT($B$3*(1-$B$3)/B59)),NA())</f>
        <v/>
      </c>
      <c r="H59">
        <f>IF(ISNUMBER(B59),IF(OR(D59&gt;F59,D59&lt;G59),"OUT",""),"")</f>
        <v/>
      </c>
    </row>
    <row r="60">
      <c r="A60" t="n">
        <v>56</v>
      </c>
      <c r="B60" s="6" t="n"/>
      <c r="C60" s="6" t="n"/>
      <c r="D60">
        <f>IF(ISNUMBER(B60),C60/B60,NA())</f>
        <v/>
      </c>
      <c r="E60">
        <f>$B$3</f>
        <v/>
      </c>
      <c r="F60">
        <f>IF(ISNUMBER(B60),MIN(1,$B$3+3*SQRT($B$3*(1-$B$3)/B60)),NA())</f>
        <v/>
      </c>
      <c r="G60">
        <f>IF(ISNUMBER(B60),MAX(0,$B$3-3*SQRT($B$3*(1-$B$3)/B60)),NA())</f>
        <v/>
      </c>
      <c r="H60">
        <f>IF(ISNUMBER(B60),IF(OR(D60&gt;F60,D60&lt;G60),"OUT",""),"")</f>
        <v/>
      </c>
    </row>
    <row r="61">
      <c r="A61" t="n">
        <v>57</v>
      </c>
      <c r="B61" s="6" t="n"/>
      <c r="C61" s="6" t="n"/>
      <c r="D61">
        <f>IF(ISNUMBER(B61),C61/B61,NA())</f>
        <v/>
      </c>
      <c r="E61">
        <f>$B$3</f>
        <v/>
      </c>
      <c r="F61">
        <f>IF(ISNUMBER(B61),MIN(1,$B$3+3*SQRT($B$3*(1-$B$3)/B61)),NA())</f>
        <v/>
      </c>
      <c r="G61">
        <f>IF(ISNUMBER(B61),MAX(0,$B$3-3*SQRT($B$3*(1-$B$3)/B61)),NA())</f>
        <v/>
      </c>
      <c r="H61">
        <f>IF(ISNUMBER(B61),IF(OR(D61&gt;F61,D61&lt;G61),"OUT",""),"")</f>
        <v/>
      </c>
    </row>
    <row r="62">
      <c r="A62" t="n">
        <v>58</v>
      </c>
      <c r="B62" s="6" t="n"/>
      <c r="C62" s="6" t="n"/>
      <c r="D62">
        <f>IF(ISNUMBER(B62),C62/B62,NA())</f>
        <v/>
      </c>
      <c r="E62">
        <f>$B$3</f>
        <v/>
      </c>
      <c r="F62">
        <f>IF(ISNUMBER(B62),MIN(1,$B$3+3*SQRT($B$3*(1-$B$3)/B62)),NA())</f>
        <v/>
      </c>
      <c r="G62">
        <f>IF(ISNUMBER(B62),MAX(0,$B$3-3*SQRT($B$3*(1-$B$3)/B62)),NA())</f>
        <v/>
      </c>
      <c r="H62">
        <f>IF(ISNUMBER(B62),IF(OR(D62&gt;F62,D62&lt;G62),"OUT",""),"")</f>
        <v/>
      </c>
    </row>
    <row r="63">
      <c r="A63" t="n">
        <v>59</v>
      </c>
      <c r="B63" s="6" t="n"/>
      <c r="C63" s="6" t="n"/>
      <c r="D63">
        <f>IF(ISNUMBER(B63),C63/B63,NA())</f>
        <v/>
      </c>
      <c r="E63">
        <f>$B$3</f>
        <v/>
      </c>
      <c r="F63">
        <f>IF(ISNUMBER(B63),MIN(1,$B$3+3*SQRT($B$3*(1-$B$3)/B63)),NA())</f>
        <v/>
      </c>
      <c r="G63">
        <f>IF(ISNUMBER(B63),MAX(0,$B$3-3*SQRT($B$3*(1-$B$3)/B63)),NA())</f>
        <v/>
      </c>
      <c r="H63">
        <f>IF(ISNUMBER(B63),IF(OR(D63&gt;F63,D63&lt;G63),"OUT",""),"")</f>
        <v/>
      </c>
    </row>
    <row r="64">
      <c r="A64" t="n">
        <v>60</v>
      </c>
      <c r="B64" s="6" t="n"/>
      <c r="C64" s="6" t="n"/>
      <c r="D64">
        <f>IF(ISNUMBER(B64),C64/B64,NA())</f>
        <v/>
      </c>
      <c r="E64">
        <f>$B$3</f>
        <v/>
      </c>
      <c r="F64">
        <f>IF(ISNUMBER(B64),MIN(1,$B$3+3*SQRT($B$3*(1-$B$3)/B64)),NA())</f>
        <v/>
      </c>
      <c r="G64">
        <f>IF(ISNUMBER(B64),MAX(0,$B$3-3*SQRT($B$3*(1-$B$3)/B64)),NA())</f>
        <v/>
      </c>
      <c r="H64">
        <f>IF(ISNUMBER(B64),IF(OR(D64&gt;F64,D64&lt;G64),"OUT",""),"")</f>
        <v/>
      </c>
    </row>
    <row r="65">
      <c r="A65" t="n">
        <v>61</v>
      </c>
      <c r="B65" s="6" t="n"/>
      <c r="C65" s="6" t="n"/>
      <c r="D65">
        <f>IF(ISNUMBER(B65),C65/B65,NA())</f>
        <v/>
      </c>
      <c r="E65">
        <f>$B$3</f>
        <v/>
      </c>
      <c r="F65">
        <f>IF(ISNUMBER(B65),MIN(1,$B$3+3*SQRT($B$3*(1-$B$3)/B65)),NA())</f>
        <v/>
      </c>
      <c r="G65">
        <f>IF(ISNUMBER(B65),MAX(0,$B$3-3*SQRT($B$3*(1-$B$3)/B65)),NA())</f>
        <v/>
      </c>
      <c r="H65">
        <f>IF(ISNUMBER(B65),IF(OR(D65&gt;F65,D65&lt;G65),"OUT",""),"")</f>
        <v/>
      </c>
    </row>
    <row r="66">
      <c r="A66" t="n">
        <v>62</v>
      </c>
      <c r="B66" s="6" t="n"/>
      <c r="C66" s="6" t="n"/>
      <c r="D66">
        <f>IF(ISNUMBER(B66),C66/B66,NA())</f>
        <v/>
      </c>
      <c r="E66">
        <f>$B$3</f>
        <v/>
      </c>
      <c r="F66">
        <f>IF(ISNUMBER(B66),MIN(1,$B$3+3*SQRT($B$3*(1-$B$3)/B66)),NA())</f>
        <v/>
      </c>
      <c r="G66">
        <f>IF(ISNUMBER(B66),MAX(0,$B$3-3*SQRT($B$3*(1-$B$3)/B66)),NA())</f>
        <v/>
      </c>
      <c r="H66">
        <f>IF(ISNUMBER(B66),IF(OR(D66&gt;F66,D66&lt;G66),"OUT",""),"")</f>
        <v/>
      </c>
    </row>
    <row r="67">
      <c r="A67" t="n">
        <v>63</v>
      </c>
      <c r="B67" s="6" t="n"/>
      <c r="C67" s="6" t="n"/>
      <c r="D67">
        <f>IF(ISNUMBER(B67),C67/B67,NA())</f>
        <v/>
      </c>
      <c r="E67">
        <f>$B$3</f>
        <v/>
      </c>
      <c r="F67">
        <f>IF(ISNUMBER(B67),MIN(1,$B$3+3*SQRT($B$3*(1-$B$3)/B67)),NA())</f>
        <v/>
      </c>
      <c r="G67">
        <f>IF(ISNUMBER(B67),MAX(0,$B$3-3*SQRT($B$3*(1-$B$3)/B67)),NA())</f>
        <v/>
      </c>
      <c r="H67">
        <f>IF(ISNUMBER(B67),IF(OR(D67&gt;F67,D67&lt;G67),"OUT",""),"")</f>
        <v/>
      </c>
    </row>
    <row r="68">
      <c r="A68" t="n">
        <v>64</v>
      </c>
      <c r="B68" s="6" t="n"/>
      <c r="C68" s="6" t="n"/>
      <c r="D68">
        <f>IF(ISNUMBER(B68),C68/B68,NA())</f>
        <v/>
      </c>
      <c r="E68">
        <f>$B$3</f>
        <v/>
      </c>
      <c r="F68">
        <f>IF(ISNUMBER(B68),MIN(1,$B$3+3*SQRT($B$3*(1-$B$3)/B68)),NA())</f>
        <v/>
      </c>
      <c r="G68">
        <f>IF(ISNUMBER(B68),MAX(0,$B$3-3*SQRT($B$3*(1-$B$3)/B68)),NA())</f>
        <v/>
      </c>
      <c r="H68">
        <f>IF(ISNUMBER(B68),IF(OR(D68&gt;F68,D68&lt;G68),"OUT",""),"")</f>
        <v/>
      </c>
    </row>
    <row r="69">
      <c r="A69" t="n">
        <v>65</v>
      </c>
      <c r="B69" s="6" t="n"/>
      <c r="C69" s="6" t="n"/>
      <c r="D69">
        <f>IF(ISNUMBER(B69),C69/B69,NA())</f>
        <v/>
      </c>
      <c r="E69">
        <f>$B$3</f>
        <v/>
      </c>
      <c r="F69">
        <f>IF(ISNUMBER(B69),MIN(1,$B$3+3*SQRT($B$3*(1-$B$3)/B69)),NA())</f>
        <v/>
      </c>
      <c r="G69">
        <f>IF(ISNUMBER(B69),MAX(0,$B$3-3*SQRT($B$3*(1-$B$3)/B69)),NA())</f>
        <v/>
      </c>
      <c r="H69">
        <f>IF(ISNUMBER(B69),IF(OR(D69&gt;F69,D69&lt;G69),"OUT",""),"")</f>
        <v/>
      </c>
    </row>
    <row r="70">
      <c r="A70" t="n">
        <v>66</v>
      </c>
      <c r="B70" s="6" t="n"/>
      <c r="C70" s="6" t="n"/>
      <c r="D70">
        <f>IF(ISNUMBER(B70),C70/B70,NA())</f>
        <v/>
      </c>
      <c r="E70">
        <f>$B$3</f>
        <v/>
      </c>
      <c r="F70">
        <f>IF(ISNUMBER(B70),MIN(1,$B$3+3*SQRT($B$3*(1-$B$3)/B70)),NA())</f>
        <v/>
      </c>
      <c r="G70">
        <f>IF(ISNUMBER(B70),MAX(0,$B$3-3*SQRT($B$3*(1-$B$3)/B70)),NA())</f>
        <v/>
      </c>
      <c r="H70">
        <f>IF(ISNUMBER(B70),IF(OR(D70&gt;F70,D70&lt;G70),"OUT",""),"")</f>
        <v/>
      </c>
    </row>
    <row r="71">
      <c r="A71" t="n">
        <v>67</v>
      </c>
      <c r="B71" s="6" t="n"/>
      <c r="C71" s="6" t="n"/>
      <c r="D71">
        <f>IF(ISNUMBER(B71),C71/B71,NA())</f>
        <v/>
      </c>
      <c r="E71">
        <f>$B$3</f>
        <v/>
      </c>
      <c r="F71">
        <f>IF(ISNUMBER(B71),MIN(1,$B$3+3*SQRT($B$3*(1-$B$3)/B71)),NA())</f>
        <v/>
      </c>
      <c r="G71">
        <f>IF(ISNUMBER(B71),MAX(0,$B$3-3*SQRT($B$3*(1-$B$3)/B71)),NA())</f>
        <v/>
      </c>
      <c r="H71">
        <f>IF(ISNUMBER(B71),IF(OR(D71&gt;F71,D71&lt;G71),"OUT",""),"")</f>
        <v/>
      </c>
    </row>
    <row r="72">
      <c r="A72" t="n">
        <v>68</v>
      </c>
      <c r="B72" s="6" t="n"/>
      <c r="C72" s="6" t="n"/>
      <c r="D72">
        <f>IF(ISNUMBER(B72),C72/B72,NA())</f>
        <v/>
      </c>
      <c r="E72">
        <f>$B$3</f>
        <v/>
      </c>
      <c r="F72">
        <f>IF(ISNUMBER(B72),MIN(1,$B$3+3*SQRT($B$3*(1-$B$3)/B72)),NA())</f>
        <v/>
      </c>
      <c r="G72">
        <f>IF(ISNUMBER(B72),MAX(0,$B$3-3*SQRT($B$3*(1-$B$3)/B72)),NA())</f>
        <v/>
      </c>
      <c r="H72">
        <f>IF(ISNUMBER(B72),IF(OR(D72&gt;F72,D72&lt;G72),"OUT",""),"")</f>
        <v/>
      </c>
    </row>
    <row r="73">
      <c r="A73" t="n">
        <v>69</v>
      </c>
      <c r="B73" s="6" t="n"/>
      <c r="C73" s="6" t="n"/>
      <c r="D73">
        <f>IF(ISNUMBER(B73),C73/B73,NA())</f>
        <v/>
      </c>
      <c r="E73">
        <f>$B$3</f>
        <v/>
      </c>
      <c r="F73">
        <f>IF(ISNUMBER(B73),MIN(1,$B$3+3*SQRT($B$3*(1-$B$3)/B73)),NA())</f>
        <v/>
      </c>
      <c r="G73">
        <f>IF(ISNUMBER(B73),MAX(0,$B$3-3*SQRT($B$3*(1-$B$3)/B73)),NA())</f>
        <v/>
      </c>
      <c r="H73">
        <f>IF(ISNUMBER(B73),IF(OR(D73&gt;F73,D73&lt;G73),"OUT",""),"")</f>
        <v/>
      </c>
    </row>
    <row r="74">
      <c r="A74" t="n">
        <v>70</v>
      </c>
      <c r="B74" s="6" t="n"/>
      <c r="C74" s="6" t="n"/>
      <c r="D74">
        <f>IF(ISNUMBER(B74),C74/B74,NA())</f>
        <v/>
      </c>
      <c r="E74">
        <f>$B$3</f>
        <v/>
      </c>
      <c r="F74">
        <f>IF(ISNUMBER(B74),MIN(1,$B$3+3*SQRT($B$3*(1-$B$3)/B74)),NA())</f>
        <v/>
      </c>
      <c r="G74">
        <f>IF(ISNUMBER(B74),MAX(0,$B$3-3*SQRT($B$3*(1-$B$3)/B74)),NA())</f>
        <v/>
      </c>
      <c r="H74">
        <f>IF(ISNUMBER(B74),IF(OR(D74&gt;F74,D74&lt;G74),"OUT",""),"")</f>
        <v/>
      </c>
    </row>
    <row r="75">
      <c r="A75" t="n">
        <v>71</v>
      </c>
      <c r="B75" s="6" t="n"/>
      <c r="C75" s="6" t="n"/>
      <c r="D75">
        <f>IF(ISNUMBER(B75),C75/B75,NA())</f>
        <v/>
      </c>
      <c r="E75">
        <f>$B$3</f>
        <v/>
      </c>
      <c r="F75">
        <f>IF(ISNUMBER(B75),MIN(1,$B$3+3*SQRT($B$3*(1-$B$3)/B75)),NA())</f>
        <v/>
      </c>
      <c r="G75">
        <f>IF(ISNUMBER(B75),MAX(0,$B$3-3*SQRT($B$3*(1-$B$3)/B75)),NA())</f>
        <v/>
      </c>
      <c r="H75">
        <f>IF(ISNUMBER(B75),IF(OR(D75&gt;F75,D75&lt;G75),"OUT",""),"")</f>
        <v/>
      </c>
    </row>
    <row r="76">
      <c r="A76" t="n">
        <v>72</v>
      </c>
      <c r="B76" s="6" t="n"/>
      <c r="C76" s="6" t="n"/>
      <c r="D76">
        <f>IF(ISNUMBER(B76),C76/B76,NA())</f>
        <v/>
      </c>
      <c r="E76">
        <f>$B$3</f>
        <v/>
      </c>
      <c r="F76">
        <f>IF(ISNUMBER(B76),MIN(1,$B$3+3*SQRT($B$3*(1-$B$3)/B76)),NA())</f>
        <v/>
      </c>
      <c r="G76">
        <f>IF(ISNUMBER(B76),MAX(0,$B$3-3*SQRT($B$3*(1-$B$3)/B76)),NA())</f>
        <v/>
      </c>
      <c r="H76">
        <f>IF(ISNUMBER(B76),IF(OR(D76&gt;F76,D76&lt;G76),"OUT",""),"")</f>
        <v/>
      </c>
    </row>
    <row r="77">
      <c r="A77" t="n">
        <v>73</v>
      </c>
      <c r="B77" s="6" t="n"/>
      <c r="C77" s="6" t="n"/>
      <c r="D77">
        <f>IF(ISNUMBER(B77),C77/B77,NA())</f>
        <v/>
      </c>
      <c r="E77">
        <f>$B$3</f>
        <v/>
      </c>
      <c r="F77">
        <f>IF(ISNUMBER(B77),MIN(1,$B$3+3*SQRT($B$3*(1-$B$3)/B77)),NA())</f>
        <v/>
      </c>
      <c r="G77">
        <f>IF(ISNUMBER(B77),MAX(0,$B$3-3*SQRT($B$3*(1-$B$3)/B77)),NA())</f>
        <v/>
      </c>
      <c r="H77">
        <f>IF(ISNUMBER(B77),IF(OR(D77&gt;F77,D77&lt;G77),"OUT",""),"")</f>
        <v/>
      </c>
    </row>
    <row r="78">
      <c r="A78" t="n">
        <v>74</v>
      </c>
      <c r="B78" s="6" t="n"/>
      <c r="C78" s="6" t="n"/>
      <c r="D78">
        <f>IF(ISNUMBER(B78),C78/B78,NA())</f>
        <v/>
      </c>
      <c r="E78">
        <f>$B$3</f>
        <v/>
      </c>
      <c r="F78">
        <f>IF(ISNUMBER(B78),MIN(1,$B$3+3*SQRT($B$3*(1-$B$3)/B78)),NA())</f>
        <v/>
      </c>
      <c r="G78">
        <f>IF(ISNUMBER(B78),MAX(0,$B$3-3*SQRT($B$3*(1-$B$3)/B78)),NA())</f>
        <v/>
      </c>
      <c r="H78">
        <f>IF(ISNUMBER(B78),IF(OR(D78&gt;F78,D78&lt;G78),"OUT",""),"")</f>
        <v/>
      </c>
    </row>
    <row r="79">
      <c r="A79" t="n">
        <v>75</v>
      </c>
      <c r="B79" s="6" t="n"/>
      <c r="C79" s="6" t="n"/>
      <c r="D79">
        <f>IF(ISNUMBER(B79),C79/B79,NA())</f>
        <v/>
      </c>
      <c r="E79">
        <f>$B$3</f>
        <v/>
      </c>
      <c r="F79">
        <f>IF(ISNUMBER(B79),MIN(1,$B$3+3*SQRT($B$3*(1-$B$3)/B79)),NA())</f>
        <v/>
      </c>
      <c r="G79">
        <f>IF(ISNUMBER(B79),MAX(0,$B$3-3*SQRT($B$3*(1-$B$3)/B79)),NA())</f>
        <v/>
      </c>
      <c r="H79">
        <f>IF(ISNUMBER(B79),IF(OR(D79&gt;F79,D79&lt;G79),"OUT",""),"")</f>
        <v/>
      </c>
    </row>
    <row r="80">
      <c r="A80" t="n">
        <v>76</v>
      </c>
      <c r="B80" s="6" t="n"/>
      <c r="C80" s="6" t="n"/>
      <c r="D80">
        <f>IF(ISNUMBER(B80),C80/B80,NA())</f>
        <v/>
      </c>
      <c r="E80">
        <f>$B$3</f>
        <v/>
      </c>
      <c r="F80">
        <f>IF(ISNUMBER(B80),MIN(1,$B$3+3*SQRT($B$3*(1-$B$3)/B80)),NA())</f>
        <v/>
      </c>
      <c r="G80">
        <f>IF(ISNUMBER(B80),MAX(0,$B$3-3*SQRT($B$3*(1-$B$3)/B80)),NA())</f>
        <v/>
      </c>
      <c r="H80">
        <f>IF(ISNUMBER(B80),IF(OR(D80&gt;F80,D80&lt;G80),"OUT",""),"")</f>
        <v/>
      </c>
    </row>
    <row r="81">
      <c r="A81" t="n">
        <v>77</v>
      </c>
      <c r="B81" s="6" t="n"/>
      <c r="C81" s="6" t="n"/>
      <c r="D81">
        <f>IF(ISNUMBER(B81),C81/B81,NA())</f>
        <v/>
      </c>
      <c r="E81">
        <f>$B$3</f>
        <v/>
      </c>
      <c r="F81">
        <f>IF(ISNUMBER(B81),MIN(1,$B$3+3*SQRT($B$3*(1-$B$3)/B81)),NA())</f>
        <v/>
      </c>
      <c r="G81">
        <f>IF(ISNUMBER(B81),MAX(0,$B$3-3*SQRT($B$3*(1-$B$3)/B81)),NA())</f>
        <v/>
      </c>
      <c r="H81">
        <f>IF(ISNUMBER(B81),IF(OR(D81&gt;F81,D81&lt;G81),"OUT",""),"")</f>
        <v/>
      </c>
    </row>
    <row r="82">
      <c r="A82" t="n">
        <v>78</v>
      </c>
      <c r="B82" s="6" t="n"/>
      <c r="C82" s="6" t="n"/>
      <c r="D82">
        <f>IF(ISNUMBER(B82),C82/B82,NA())</f>
        <v/>
      </c>
      <c r="E82">
        <f>$B$3</f>
        <v/>
      </c>
      <c r="F82">
        <f>IF(ISNUMBER(B82),MIN(1,$B$3+3*SQRT($B$3*(1-$B$3)/B82)),NA())</f>
        <v/>
      </c>
      <c r="G82">
        <f>IF(ISNUMBER(B82),MAX(0,$B$3-3*SQRT($B$3*(1-$B$3)/B82)),NA())</f>
        <v/>
      </c>
      <c r="H82">
        <f>IF(ISNUMBER(B82),IF(OR(D82&gt;F82,D82&lt;G82),"OUT",""),"")</f>
        <v/>
      </c>
    </row>
    <row r="83">
      <c r="A83" t="n">
        <v>79</v>
      </c>
      <c r="B83" s="6" t="n"/>
      <c r="C83" s="6" t="n"/>
      <c r="D83">
        <f>IF(ISNUMBER(B83),C83/B83,NA())</f>
        <v/>
      </c>
      <c r="E83">
        <f>$B$3</f>
        <v/>
      </c>
      <c r="F83">
        <f>IF(ISNUMBER(B83),MIN(1,$B$3+3*SQRT($B$3*(1-$B$3)/B83)),NA())</f>
        <v/>
      </c>
      <c r="G83">
        <f>IF(ISNUMBER(B83),MAX(0,$B$3-3*SQRT($B$3*(1-$B$3)/B83)),NA())</f>
        <v/>
      </c>
      <c r="H83">
        <f>IF(ISNUMBER(B83),IF(OR(D83&gt;F83,D83&lt;G83),"OUT",""),"")</f>
        <v/>
      </c>
    </row>
    <row r="84">
      <c r="A84" t="n">
        <v>80</v>
      </c>
      <c r="B84" s="6" t="n"/>
      <c r="C84" s="6" t="n"/>
      <c r="D84">
        <f>IF(ISNUMBER(B84),C84/B84,NA())</f>
        <v/>
      </c>
      <c r="E84">
        <f>$B$3</f>
        <v/>
      </c>
      <c r="F84">
        <f>IF(ISNUMBER(B84),MIN(1,$B$3+3*SQRT($B$3*(1-$B$3)/B84)),NA())</f>
        <v/>
      </c>
      <c r="G84">
        <f>IF(ISNUMBER(B84),MAX(0,$B$3-3*SQRT($B$3*(1-$B$3)/B84)),NA())</f>
        <v/>
      </c>
      <c r="H84">
        <f>IF(ISNUMBER(B84),IF(OR(D84&gt;F84,D84&lt;G84),"OUT",""),"")</f>
        <v/>
      </c>
    </row>
    <row r="85">
      <c r="A85" t="n">
        <v>81</v>
      </c>
      <c r="B85" s="6" t="n"/>
      <c r="C85" s="6" t="n"/>
      <c r="D85">
        <f>IF(ISNUMBER(B85),C85/B85,NA())</f>
        <v/>
      </c>
      <c r="E85">
        <f>$B$3</f>
        <v/>
      </c>
      <c r="F85">
        <f>IF(ISNUMBER(B85),MIN(1,$B$3+3*SQRT($B$3*(1-$B$3)/B85)),NA())</f>
        <v/>
      </c>
      <c r="G85">
        <f>IF(ISNUMBER(B85),MAX(0,$B$3-3*SQRT($B$3*(1-$B$3)/B85)),NA())</f>
        <v/>
      </c>
      <c r="H85">
        <f>IF(ISNUMBER(B85),IF(OR(D85&gt;F85,D85&lt;G85),"OUT",""),"")</f>
        <v/>
      </c>
    </row>
    <row r="86">
      <c r="A86" t="n">
        <v>82</v>
      </c>
      <c r="B86" s="6" t="n"/>
      <c r="C86" s="6" t="n"/>
      <c r="D86">
        <f>IF(ISNUMBER(B86),C86/B86,NA())</f>
        <v/>
      </c>
      <c r="E86">
        <f>$B$3</f>
        <v/>
      </c>
      <c r="F86">
        <f>IF(ISNUMBER(B86),MIN(1,$B$3+3*SQRT($B$3*(1-$B$3)/B86)),NA())</f>
        <v/>
      </c>
      <c r="G86">
        <f>IF(ISNUMBER(B86),MAX(0,$B$3-3*SQRT($B$3*(1-$B$3)/B86)),NA())</f>
        <v/>
      </c>
      <c r="H86">
        <f>IF(ISNUMBER(B86),IF(OR(D86&gt;F86,D86&lt;G86),"OUT",""),"")</f>
        <v/>
      </c>
    </row>
    <row r="87">
      <c r="A87" t="n">
        <v>83</v>
      </c>
      <c r="B87" s="6" t="n"/>
      <c r="C87" s="6" t="n"/>
      <c r="D87">
        <f>IF(ISNUMBER(B87),C87/B87,NA())</f>
        <v/>
      </c>
      <c r="E87">
        <f>$B$3</f>
        <v/>
      </c>
      <c r="F87">
        <f>IF(ISNUMBER(B87),MIN(1,$B$3+3*SQRT($B$3*(1-$B$3)/B87)),NA())</f>
        <v/>
      </c>
      <c r="G87">
        <f>IF(ISNUMBER(B87),MAX(0,$B$3-3*SQRT($B$3*(1-$B$3)/B87)),NA())</f>
        <v/>
      </c>
      <c r="H87">
        <f>IF(ISNUMBER(B87),IF(OR(D87&gt;F87,D87&lt;G87),"OUT",""),"")</f>
        <v/>
      </c>
    </row>
    <row r="88">
      <c r="A88" t="n">
        <v>84</v>
      </c>
      <c r="B88" s="6" t="n"/>
      <c r="C88" s="6" t="n"/>
      <c r="D88">
        <f>IF(ISNUMBER(B88),C88/B88,NA())</f>
        <v/>
      </c>
      <c r="E88">
        <f>$B$3</f>
        <v/>
      </c>
      <c r="F88">
        <f>IF(ISNUMBER(B88),MIN(1,$B$3+3*SQRT($B$3*(1-$B$3)/B88)),NA())</f>
        <v/>
      </c>
      <c r="G88">
        <f>IF(ISNUMBER(B88),MAX(0,$B$3-3*SQRT($B$3*(1-$B$3)/B88)),NA())</f>
        <v/>
      </c>
      <c r="H88">
        <f>IF(ISNUMBER(B88),IF(OR(D88&gt;F88,D88&lt;G88),"OUT",""),"")</f>
        <v/>
      </c>
    </row>
    <row r="89">
      <c r="A89" t="n">
        <v>85</v>
      </c>
      <c r="B89" s="6" t="n"/>
      <c r="C89" s="6" t="n"/>
      <c r="D89">
        <f>IF(ISNUMBER(B89),C89/B89,NA())</f>
        <v/>
      </c>
      <c r="E89">
        <f>$B$3</f>
        <v/>
      </c>
      <c r="F89">
        <f>IF(ISNUMBER(B89),MIN(1,$B$3+3*SQRT($B$3*(1-$B$3)/B89)),NA())</f>
        <v/>
      </c>
      <c r="G89">
        <f>IF(ISNUMBER(B89),MAX(0,$B$3-3*SQRT($B$3*(1-$B$3)/B89)),NA())</f>
        <v/>
      </c>
      <c r="H89">
        <f>IF(ISNUMBER(B89),IF(OR(D89&gt;F89,D89&lt;G89),"OUT",""),"")</f>
        <v/>
      </c>
    </row>
    <row r="90">
      <c r="A90" t="n">
        <v>86</v>
      </c>
      <c r="B90" s="6" t="n"/>
      <c r="C90" s="6" t="n"/>
      <c r="D90">
        <f>IF(ISNUMBER(B90),C90/B90,NA())</f>
        <v/>
      </c>
      <c r="E90">
        <f>$B$3</f>
        <v/>
      </c>
      <c r="F90">
        <f>IF(ISNUMBER(B90),MIN(1,$B$3+3*SQRT($B$3*(1-$B$3)/B90)),NA())</f>
        <v/>
      </c>
      <c r="G90">
        <f>IF(ISNUMBER(B90),MAX(0,$B$3-3*SQRT($B$3*(1-$B$3)/B90)),NA())</f>
        <v/>
      </c>
      <c r="H90">
        <f>IF(ISNUMBER(B90),IF(OR(D90&gt;F90,D90&lt;G90),"OUT",""),"")</f>
        <v/>
      </c>
    </row>
    <row r="91">
      <c r="A91" t="n">
        <v>87</v>
      </c>
      <c r="B91" s="6" t="n"/>
      <c r="C91" s="6" t="n"/>
      <c r="D91">
        <f>IF(ISNUMBER(B91),C91/B91,NA())</f>
        <v/>
      </c>
      <c r="E91">
        <f>$B$3</f>
        <v/>
      </c>
      <c r="F91">
        <f>IF(ISNUMBER(B91),MIN(1,$B$3+3*SQRT($B$3*(1-$B$3)/B91)),NA())</f>
        <v/>
      </c>
      <c r="G91">
        <f>IF(ISNUMBER(B91),MAX(0,$B$3-3*SQRT($B$3*(1-$B$3)/B91)),NA())</f>
        <v/>
      </c>
      <c r="H91">
        <f>IF(ISNUMBER(B91),IF(OR(D91&gt;F91,D91&lt;G91),"OUT",""),"")</f>
        <v/>
      </c>
    </row>
    <row r="92">
      <c r="A92" t="n">
        <v>88</v>
      </c>
      <c r="B92" s="6" t="n"/>
      <c r="C92" s="6" t="n"/>
      <c r="D92">
        <f>IF(ISNUMBER(B92),C92/B92,NA())</f>
        <v/>
      </c>
      <c r="E92">
        <f>$B$3</f>
        <v/>
      </c>
      <c r="F92">
        <f>IF(ISNUMBER(B92),MIN(1,$B$3+3*SQRT($B$3*(1-$B$3)/B92)),NA())</f>
        <v/>
      </c>
      <c r="G92">
        <f>IF(ISNUMBER(B92),MAX(0,$B$3-3*SQRT($B$3*(1-$B$3)/B92)),NA())</f>
        <v/>
      </c>
      <c r="H92">
        <f>IF(ISNUMBER(B92),IF(OR(D92&gt;F92,D92&lt;G92),"OUT",""),"")</f>
        <v/>
      </c>
    </row>
    <row r="93">
      <c r="A93" t="n">
        <v>89</v>
      </c>
      <c r="B93" s="6" t="n"/>
      <c r="C93" s="6" t="n"/>
      <c r="D93">
        <f>IF(ISNUMBER(B93),C93/B93,NA())</f>
        <v/>
      </c>
      <c r="E93">
        <f>$B$3</f>
        <v/>
      </c>
      <c r="F93">
        <f>IF(ISNUMBER(B93),MIN(1,$B$3+3*SQRT($B$3*(1-$B$3)/B93)),NA())</f>
        <v/>
      </c>
      <c r="G93">
        <f>IF(ISNUMBER(B93),MAX(0,$B$3-3*SQRT($B$3*(1-$B$3)/B93)),NA())</f>
        <v/>
      </c>
      <c r="H93">
        <f>IF(ISNUMBER(B93),IF(OR(D93&gt;F93,D93&lt;G93),"OUT",""),"")</f>
        <v/>
      </c>
    </row>
    <row r="94">
      <c r="A94" t="n">
        <v>90</v>
      </c>
      <c r="B94" s="6" t="n"/>
      <c r="C94" s="6" t="n"/>
      <c r="D94">
        <f>IF(ISNUMBER(B94),C94/B94,NA())</f>
        <v/>
      </c>
      <c r="E94">
        <f>$B$3</f>
        <v/>
      </c>
      <c r="F94">
        <f>IF(ISNUMBER(B94),MIN(1,$B$3+3*SQRT($B$3*(1-$B$3)/B94)),NA())</f>
        <v/>
      </c>
      <c r="G94">
        <f>IF(ISNUMBER(B94),MAX(0,$B$3-3*SQRT($B$3*(1-$B$3)/B94)),NA())</f>
        <v/>
      </c>
      <c r="H94">
        <f>IF(ISNUMBER(B94),IF(OR(D94&gt;F94,D94&lt;G94),"OUT",""),"")</f>
        <v/>
      </c>
    </row>
    <row r="95">
      <c r="A95" t="n">
        <v>91</v>
      </c>
      <c r="B95" s="6" t="n"/>
      <c r="C95" s="6" t="n"/>
      <c r="D95">
        <f>IF(ISNUMBER(B95),C95/B95,NA())</f>
        <v/>
      </c>
      <c r="E95">
        <f>$B$3</f>
        <v/>
      </c>
      <c r="F95">
        <f>IF(ISNUMBER(B95),MIN(1,$B$3+3*SQRT($B$3*(1-$B$3)/B95)),NA())</f>
        <v/>
      </c>
      <c r="G95">
        <f>IF(ISNUMBER(B95),MAX(0,$B$3-3*SQRT($B$3*(1-$B$3)/B95)),NA())</f>
        <v/>
      </c>
      <c r="H95">
        <f>IF(ISNUMBER(B95),IF(OR(D95&gt;F95,D95&lt;G95),"OUT",""),"")</f>
        <v/>
      </c>
    </row>
    <row r="96">
      <c r="A96" t="n">
        <v>92</v>
      </c>
      <c r="B96" s="6" t="n"/>
      <c r="C96" s="6" t="n"/>
      <c r="D96">
        <f>IF(ISNUMBER(B96),C96/B96,NA())</f>
        <v/>
      </c>
      <c r="E96">
        <f>$B$3</f>
        <v/>
      </c>
      <c r="F96">
        <f>IF(ISNUMBER(B96),MIN(1,$B$3+3*SQRT($B$3*(1-$B$3)/B96)),NA())</f>
        <v/>
      </c>
      <c r="G96">
        <f>IF(ISNUMBER(B96),MAX(0,$B$3-3*SQRT($B$3*(1-$B$3)/B96)),NA())</f>
        <v/>
      </c>
      <c r="H96">
        <f>IF(ISNUMBER(B96),IF(OR(D96&gt;F96,D96&lt;G96),"OUT",""),"")</f>
        <v/>
      </c>
    </row>
    <row r="97">
      <c r="A97" t="n">
        <v>93</v>
      </c>
      <c r="B97" s="6" t="n"/>
      <c r="C97" s="6" t="n"/>
      <c r="D97">
        <f>IF(ISNUMBER(B97),C97/B97,NA())</f>
        <v/>
      </c>
      <c r="E97">
        <f>$B$3</f>
        <v/>
      </c>
      <c r="F97">
        <f>IF(ISNUMBER(B97),MIN(1,$B$3+3*SQRT($B$3*(1-$B$3)/B97)),NA())</f>
        <v/>
      </c>
      <c r="G97">
        <f>IF(ISNUMBER(B97),MAX(0,$B$3-3*SQRT($B$3*(1-$B$3)/B97)),NA())</f>
        <v/>
      </c>
      <c r="H97">
        <f>IF(ISNUMBER(B97),IF(OR(D97&gt;F97,D97&lt;G97),"OUT",""),"")</f>
        <v/>
      </c>
    </row>
    <row r="98">
      <c r="A98" t="n">
        <v>94</v>
      </c>
      <c r="B98" s="6" t="n"/>
      <c r="C98" s="6" t="n"/>
      <c r="D98">
        <f>IF(ISNUMBER(B98),C98/B98,NA())</f>
        <v/>
      </c>
      <c r="E98">
        <f>$B$3</f>
        <v/>
      </c>
      <c r="F98">
        <f>IF(ISNUMBER(B98),MIN(1,$B$3+3*SQRT($B$3*(1-$B$3)/B98)),NA())</f>
        <v/>
      </c>
      <c r="G98">
        <f>IF(ISNUMBER(B98),MAX(0,$B$3-3*SQRT($B$3*(1-$B$3)/B98)),NA())</f>
        <v/>
      </c>
      <c r="H98">
        <f>IF(ISNUMBER(B98),IF(OR(D98&gt;F98,D98&lt;G98),"OUT",""),"")</f>
        <v/>
      </c>
    </row>
    <row r="99">
      <c r="A99" t="n">
        <v>95</v>
      </c>
      <c r="B99" s="6" t="n"/>
      <c r="C99" s="6" t="n"/>
      <c r="D99">
        <f>IF(ISNUMBER(B99),C99/B99,NA())</f>
        <v/>
      </c>
      <c r="E99">
        <f>$B$3</f>
        <v/>
      </c>
      <c r="F99">
        <f>IF(ISNUMBER(B99),MIN(1,$B$3+3*SQRT($B$3*(1-$B$3)/B99)),NA())</f>
        <v/>
      </c>
      <c r="G99">
        <f>IF(ISNUMBER(B99),MAX(0,$B$3-3*SQRT($B$3*(1-$B$3)/B99)),NA())</f>
        <v/>
      </c>
      <c r="H99">
        <f>IF(ISNUMBER(B99),IF(OR(D99&gt;F99,D99&lt;G99),"OUT",""),"")</f>
        <v/>
      </c>
    </row>
    <row r="100">
      <c r="A100" t="n">
        <v>96</v>
      </c>
      <c r="B100" s="6" t="n"/>
      <c r="C100" s="6" t="n"/>
      <c r="D100">
        <f>IF(ISNUMBER(B100),C100/B100,NA())</f>
        <v/>
      </c>
      <c r="E100">
        <f>$B$3</f>
        <v/>
      </c>
      <c r="F100">
        <f>IF(ISNUMBER(B100),MIN(1,$B$3+3*SQRT($B$3*(1-$B$3)/B100)),NA())</f>
        <v/>
      </c>
      <c r="G100">
        <f>IF(ISNUMBER(B100),MAX(0,$B$3-3*SQRT($B$3*(1-$B$3)/B100)),NA())</f>
        <v/>
      </c>
      <c r="H100">
        <f>IF(ISNUMBER(B100),IF(OR(D100&gt;F100,D100&lt;G100),"OUT",""),"")</f>
        <v/>
      </c>
    </row>
    <row r="101">
      <c r="A101" t="n">
        <v>97</v>
      </c>
      <c r="B101" s="6" t="n"/>
      <c r="C101" s="6" t="n"/>
      <c r="D101">
        <f>IF(ISNUMBER(B101),C101/B101,NA())</f>
        <v/>
      </c>
      <c r="E101">
        <f>$B$3</f>
        <v/>
      </c>
      <c r="F101">
        <f>IF(ISNUMBER(B101),MIN(1,$B$3+3*SQRT($B$3*(1-$B$3)/B101)),NA())</f>
        <v/>
      </c>
      <c r="G101">
        <f>IF(ISNUMBER(B101),MAX(0,$B$3-3*SQRT($B$3*(1-$B$3)/B101)),NA())</f>
        <v/>
      </c>
      <c r="H101">
        <f>IF(ISNUMBER(B101),IF(OR(D101&gt;F101,D101&lt;G101),"OUT",""),"")</f>
        <v/>
      </c>
    </row>
    <row r="102">
      <c r="A102" t="n">
        <v>98</v>
      </c>
      <c r="B102" s="6" t="n"/>
      <c r="C102" s="6" t="n"/>
      <c r="D102">
        <f>IF(ISNUMBER(B102),C102/B102,NA())</f>
        <v/>
      </c>
      <c r="E102">
        <f>$B$3</f>
        <v/>
      </c>
      <c r="F102">
        <f>IF(ISNUMBER(B102),MIN(1,$B$3+3*SQRT($B$3*(1-$B$3)/B102)),NA())</f>
        <v/>
      </c>
      <c r="G102">
        <f>IF(ISNUMBER(B102),MAX(0,$B$3-3*SQRT($B$3*(1-$B$3)/B102)),NA())</f>
        <v/>
      </c>
      <c r="H102">
        <f>IF(ISNUMBER(B102),IF(OR(D102&gt;F102,D102&lt;G102),"OUT",""),"")</f>
        <v/>
      </c>
    </row>
    <row r="103">
      <c r="A103" t="n">
        <v>99</v>
      </c>
      <c r="B103" s="6" t="n"/>
      <c r="C103" s="6" t="n"/>
      <c r="D103">
        <f>IF(ISNUMBER(B103),C103/B103,NA())</f>
        <v/>
      </c>
      <c r="E103">
        <f>$B$3</f>
        <v/>
      </c>
      <c r="F103">
        <f>IF(ISNUMBER(B103),MIN(1,$B$3+3*SQRT($B$3*(1-$B$3)/B103)),NA())</f>
        <v/>
      </c>
      <c r="G103">
        <f>IF(ISNUMBER(B103),MAX(0,$B$3-3*SQRT($B$3*(1-$B$3)/B103)),NA())</f>
        <v/>
      </c>
      <c r="H103">
        <f>IF(ISNUMBER(B103),IF(OR(D103&gt;F103,D103&lt;G103),"OUT",""),"")</f>
        <v/>
      </c>
    </row>
    <row r="104">
      <c r="A104" t="n">
        <v>100</v>
      </c>
      <c r="B104" s="6" t="n"/>
      <c r="C104" s="6" t="n"/>
      <c r="D104">
        <f>IF(ISNUMBER(B104),C104/B104,NA())</f>
        <v/>
      </c>
      <c r="E104">
        <f>$B$3</f>
        <v/>
      </c>
      <c r="F104">
        <f>IF(ISNUMBER(B104),MIN(1,$B$3+3*SQRT($B$3*(1-$B$3)/B104)),NA())</f>
        <v/>
      </c>
      <c r="G104">
        <f>IF(ISNUMBER(B104),MAX(0,$B$3-3*SQRT($B$3*(1-$B$3)/B104)),NA())</f>
        <v/>
      </c>
      <c r="H104">
        <f>IF(ISNUMBER(B104),IF(OR(D104&gt;F104,D104&lt;G104),"OUT",""),"")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 Chart (defects per unit)</t>
        </is>
      </c>
    </row>
    <row r="2">
      <c r="A2" s="2" t="inlineStr">
        <is>
          <t>Enter units inspected and defects found for up to 100 samples.</t>
        </is>
      </c>
    </row>
    <row r="3">
      <c r="A3" s="3" t="inlineStr">
        <is>
          <t>u-bar</t>
        </is>
      </c>
      <c r="B3" s="4">
        <f>SUM(C5:C104)/SUM(B5:B104)</f>
        <v/>
      </c>
    </row>
    <row r="4">
      <c r="A4" s="5" t="inlineStr">
        <is>
          <t>Sample</t>
        </is>
      </c>
      <c r="B4" s="5" t="inlineStr">
        <is>
          <t>Units</t>
        </is>
      </c>
      <c r="C4" s="5" t="inlineStr">
        <is>
          <t>Defects</t>
        </is>
      </c>
      <c r="D4" s="5" t="inlineStr">
        <is>
          <t>u</t>
        </is>
      </c>
      <c r="E4" s="5" t="inlineStr">
        <is>
          <t>u-bar</t>
        </is>
      </c>
      <c r="F4" s="5" t="inlineStr">
        <is>
          <t>UCL</t>
        </is>
      </c>
      <c r="G4" s="5" t="inlineStr">
        <is>
          <t>LCL</t>
        </is>
      </c>
      <c r="H4" s="5" t="inlineStr">
        <is>
          <t>Signal</t>
        </is>
      </c>
    </row>
    <row r="5">
      <c r="A5" t="n">
        <v>1</v>
      </c>
      <c r="B5" s="6" t="n">
        <v>12</v>
      </c>
      <c r="C5" s="6" t="n">
        <v>46</v>
      </c>
      <c r="D5">
        <f>IF(ISNUMBER(B5),C5/B5,NA())</f>
        <v/>
      </c>
      <c r="E5">
        <f>$B$3</f>
        <v/>
      </c>
      <c r="F5">
        <f>IF(ISNUMBER(B5),$B$3+3*SQRT($B$3/B5),NA())</f>
        <v/>
      </c>
      <c r="G5">
        <f>IF(ISNUMBER(B5),MAX(0,$B$3-3*SQRT($B$3/B5)),NA())</f>
        <v/>
      </c>
      <c r="H5">
        <f>IF(ISNUMBER(B5),IF(OR(D5&gt;F5,D5&lt;G5),"OUT",""),"")</f>
        <v/>
      </c>
    </row>
    <row r="6">
      <c r="A6" t="n">
        <v>2</v>
      </c>
      <c r="B6" s="6" t="n">
        <v>10</v>
      </c>
      <c r="C6" s="6" t="n">
        <v>28</v>
      </c>
      <c r="D6">
        <f>IF(ISNUMBER(B6),C6/B6,NA())</f>
        <v/>
      </c>
      <c r="E6">
        <f>$B$3</f>
        <v/>
      </c>
      <c r="F6">
        <f>IF(ISNUMBER(B6),$B$3+3*SQRT($B$3/B6),NA())</f>
        <v/>
      </c>
      <c r="G6">
        <f>IF(ISNUMBER(B6),MAX(0,$B$3-3*SQRT($B$3/B6)),NA())</f>
        <v/>
      </c>
      <c r="H6">
        <f>IF(ISNUMBER(B6),IF(OR(D6&gt;F6,D6&lt;G6),"OUT",""),"")</f>
        <v/>
      </c>
    </row>
    <row r="7">
      <c r="A7" t="n">
        <v>3</v>
      </c>
      <c r="B7" s="6" t="n">
        <v>10</v>
      </c>
      <c r="C7" s="6" t="n">
        <v>25</v>
      </c>
      <c r="D7">
        <f>IF(ISNUMBER(B7),C7/B7,NA())</f>
        <v/>
      </c>
      <c r="E7">
        <f>$B$3</f>
        <v/>
      </c>
      <c r="F7">
        <f>IF(ISNUMBER(B7),$B$3+3*SQRT($B$3/B7),NA())</f>
        <v/>
      </c>
      <c r="G7">
        <f>IF(ISNUMBER(B7),MAX(0,$B$3-3*SQRT($B$3/B7)),NA())</f>
        <v/>
      </c>
      <c r="H7">
        <f>IF(ISNUMBER(B7),IF(OR(D7&gt;F7,D7&lt;G7),"OUT",""),"")</f>
        <v/>
      </c>
    </row>
    <row r="8">
      <c r="A8" t="n">
        <v>4</v>
      </c>
      <c r="B8" s="6" t="n">
        <v>8</v>
      </c>
      <c r="C8" s="6" t="n">
        <v>19</v>
      </c>
      <c r="D8">
        <f>IF(ISNUMBER(B8),C8/B8,NA())</f>
        <v/>
      </c>
      <c r="E8">
        <f>$B$3</f>
        <v/>
      </c>
      <c r="F8">
        <f>IF(ISNUMBER(B8),$B$3+3*SQRT($B$3/B8),NA())</f>
        <v/>
      </c>
      <c r="G8">
        <f>IF(ISNUMBER(B8),MAX(0,$B$3-3*SQRT($B$3/B8)),NA())</f>
        <v/>
      </c>
      <c r="H8">
        <f>IF(ISNUMBER(B8),IF(OR(D8&gt;F8,D8&lt;G8),"OUT",""),"")</f>
        <v/>
      </c>
    </row>
    <row r="9">
      <c r="A9" t="n">
        <v>5</v>
      </c>
      <c r="B9" s="6" t="n">
        <v>10</v>
      </c>
      <c r="C9" s="6" t="n">
        <v>39</v>
      </c>
      <c r="D9">
        <f>IF(ISNUMBER(B9),C9/B9,NA())</f>
        <v/>
      </c>
      <c r="E9">
        <f>$B$3</f>
        <v/>
      </c>
      <c r="F9">
        <f>IF(ISNUMBER(B9),$B$3+3*SQRT($B$3/B9),NA())</f>
        <v/>
      </c>
      <c r="G9">
        <f>IF(ISNUMBER(B9),MAX(0,$B$3-3*SQRT($B$3/B9)),NA())</f>
        <v/>
      </c>
      <c r="H9">
        <f>IF(ISNUMBER(B9),IF(OR(D9&gt;F9,D9&lt;G9),"OUT",""),"")</f>
        <v/>
      </c>
    </row>
    <row r="10">
      <c r="A10" t="n">
        <v>6</v>
      </c>
      <c r="B10" s="6" t="n">
        <v>12</v>
      </c>
      <c r="C10" s="6" t="n">
        <v>39</v>
      </c>
      <c r="D10">
        <f>IF(ISNUMBER(B10),C10/B10,NA())</f>
        <v/>
      </c>
      <c r="E10">
        <f>$B$3</f>
        <v/>
      </c>
      <c r="F10">
        <f>IF(ISNUMBER(B10),$B$3+3*SQRT($B$3/B10),NA())</f>
        <v/>
      </c>
      <c r="G10">
        <f>IF(ISNUMBER(B10),MAX(0,$B$3-3*SQRT($B$3/B10)),NA())</f>
        <v/>
      </c>
      <c r="H10">
        <f>IF(ISNUMBER(B10),IF(OR(D10&gt;F10,D10&lt;G10),"OUT",""),"")</f>
        <v/>
      </c>
    </row>
    <row r="11">
      <c r="A11" t="n">
        <v>7</v>
      </c>
      <c r="B11" s="6" t="n">
        <v>10</v>
      </c>
      <c r="C11" s="6" t="n">
        <v>36</v>
      </c>
      <c r="D11">
        <f>IF(ISNUMBER(B11),C11/B11,NA())</f>
        <v/>
      </c>
      <c r="E11">
        <f>$B$3</f>
        <v/>
      </c>
      <c r="F11">
        <f>IF(ISNUMBER(B11),$B$3+3*SQRT($B$3/B11),NA())</f>
        <v/>
      </c>
      <c r="G11">
        <f>IF(ISNUMBER(B11),MAX(0,$B$3-3*SQRT($B$3/B11)),NA())</f>
        <v/>
      </c>
      <c r="H11">
        <f>IF(ISNUMBER(B11),IF(OR(D11&gt;F11,D11&lt;G11),"OUT",""),"")</f>
        <v/>
      </c>
    </row>
    <row r="12">
      <c r="A12" t="n">
        <v>8</v>
      </c>
      <c r="B12" s="6" t="n">
        <v>12</v>
      </c>
      <c r="C12" s="6" t="n">
        <v>27</v>
      </c>
      <c r="D12">
        <f>IF(ISNUMBER(B12),C12/B12,NA())</f>
        <v/>
      </c>
      <c r="E12">
        <f>$B$3</f>
        <v/>
      </c>
      <c r="F12">
        <f>IF(ISNUMBER(B12),$B$3+3*SQRT($B$3/B12),NA())</f>
        <v/>
      </c>
      <c r="G12">
        <f>IF(ISNUMBER(B12),MAX(0,$B$3-3*SQRT($B$3/B12)),NA())</f>
        <v/>
      </c>
      <c r="H12">
        <f>IF(ISNUMBER(B12),IF(OR(D12&gt;F12,D12&lt;G12),"OUT",""),"")</f>
        <v/>
      </c>
    </row>
    <row r="13">
      <c r="A13" t="n">
        <v>9</v>
      </c>
      <c r="B13" s="6" t="n">
        <v>10</v>
      </c>
      <c r="C13" s="6" t="n">
        <v>26</v>
      </c>
      <c r="D13">
        <f>IF(ISNUMBER(B13),C13/B13,NA())</f>
        <v/>
      </c>
      <c r="E13">
        <f>$B$3</f>
        <v/>
      </c>
      <c r="F13">
        <f>IF(ISNUMBER(B13),$B$3+3*SQRT($B$3/B13),NA())</f>
        <v/>
      </c>
      <c r="G13">
        <f>IF(ISNUMBER(B13),MAX(0,$B$3-3*SQRT($B$3/B13)),NA())</f>
        <v/>
      </c>
      <c r="H13">
        <f>IF(ISNUMBER(B13),IF(OR(D13&gt;F13,D13&lt;G13),"OUT",""),"")</f>
        <v/>
      </c>
    </row>
    <row r="14">
      <c r="A14" t="n">
        <v>10</v>
      </c>
      <c r="B14" s="6" t="n">
        <v>10</v>
      </c>
      <c r="C14" s="6" t="n">
        <v>32</v>
      </c>
      <c r="D14">
        <f>IF(ISNUMBER(B14),C14/B14,NA())</f>
        <v/>
      </c>
      <c r="E14">
        <f>$B$3</f>
        <v/>
      </c>
      <c r="F14">
        <f>IF(ISNUMBER(B14),$B$3+3*SQRT($B$3/B14),NA())</f>
        <v/>
      </c>
      <c r="G14">
        <f>IF(ISNUMBER(B14),MAX(0,$B$3-3*SQRT($B$3/B14)),NA())</f>
        <v/>
      </c>
      <c r="H14">
        <f>IF(ISNUMBER(B14),IF(OR(D14&gt;F14,D14&lt;G14),"OUT",""),"")</f>
        <v/>
      </c>
    </row>
    <row r="15">
      <c r="A15" t="n">
        <v>11</v>
      </c>
      <c r="B15" s="6" t="n">
        <v>8</v>
      </c>
      <c r="C15" s="6" t="n">
        <v>25</v>
      </c>
      <c r="D15">
        <f>IF(ISNUMBER(B15),C15/B15,NA())</f>
        <v/>
      </c>
      <c r="E15">
        <f>$B$3</f>
        <v/>
      </c>
      <c r="F15">
        <f>IF(ISNUMBER(B15),$B$3+3*SQRT($B$3/B15),NA())</f>
        <v/>
      </c>
      <c r="G15">
        <f>IF(ISNUMBER(B15),MAX(0,$B$3-3*SQRT($B$3/B15)),NA())</f>
        <v/>
      </c>
      <c r="H15">
        <f>IF(ISNUMBER(B15),IF(OR(D15&gt;F15,D15&lt;G15),"OUT",""),"")</f>
        <v/>
      </c>
    </row>
    <row r="16">
      <c r="A16" t="n">
        <v>12</v>
      </c>
      <c r="B16" s="6" t="n">
        <v>8</v>
      </c>
      <c r="C16" s="6" t="n">
        <v>18</v>
      </c>
      <c r="D16">
        <f>IF(ISNUMBER(B16),C16/B16,NA())</f>
        <v/>
      </c>
      <c r="E16">
        <f>$B$3</f>
        <v/>
      </c>
      <c r="F16">
        <f>IF(ISNUMBER(B16),$B$3+3*SQRT($B$3/B16),NA())</f>
        <v/>
      </c>
      <c r="G16">
        <f>IF(ISNUMBER(B16),MAX(0,$B$3-3*SQRT($B$3/B16)),NA())</f>
        <v/>
      </c>
      <c r="H16">
        <f>IF(ISNUMBER(B16),IF(OR(D16&gt;F16,D16&lt;G16),"OUT",""),"")</f>
        <v/>
      </c>
    </row>
    <row r="17">
      <c r="A17" t="n">
        <v>13</v>
      </c>
      <c r="B17" s="6" t="n">
        <v>10</v>
      </c>
      <c r="C17" s="6" t="n">
        <v>26</v>
      </c>
      <c r="D17">
        <f>IF(ISNUMBER(B17),C17/B17,NA())</f>
        <v/>
      </c>
      <c r="E17">
        <f>$B$3</f>
        <v/>
      </c>
      <c r="F17">
        <f>IF(ISNUMBER(B17),$B$3+3*SQRT($B$3/B17),NA())</f>
        <v/>
      </c>
      <c r="G17">
        <f>IF(ISNUMBER(B17),MAX(0,$B$3-3*SQRT($B$3/B17)),NA())</f>
        <v/>
      </c>
      <c r="H17">
        <f>IF(ISNUMBER(B17),IF(OR(D17&gt;F17,D17&lt;G17),"OUT",""),"")</f>
        <v/>
      </c>
    </row>
    <row r="18">
      <c r="A18" t="n">
        <v>14</v>
      </c>
      <c r="B18" s="6" t="n">
        <v>12</v>
      </c>
      <c r="C18" s="6" t="n">
        <v>42</v>
      </c>
      <c r="D18">
        <f>IF(ISNUMBER(B18),C18/B18,NA())</f>
        <v/>
      </c>
      <c r="E18">
        <f>$B$3</f>
        <v/>
      </c>
      <c r="F18">
        <f>IF(ISNUMBER(B18),$B$3+3*SQRT($B$3/B18),NA())</f>
        <v/>
      </c>
      <c r="G18">
        <f>IF(ISNUMBER(B18),MAX(0,$B$3-3*SQRT($B$3/B18)),NA())</f>
        <v/>
      </c>
      <c r="H18">
        <f>IF(ISNUMBER(B18),IF(OR(D18&gt;F18,D18&lt;G18),"OUT",""),"")</f>
        <v/>
      </c>
    </row>
    <row r="19">
      <c r="A19" t="n">
        <v>15</v>
      </c>
      <c r="B19" s="6" t="n">
        <v>8</v>
      </c>
      <c r="C19" s="6" t="n">
        <v>27</v>
      </c>
      <c r="D19">
        <f>IF(ISNUMBER(B19),C19/B19,NA())</f>
        <v/>
      </c>
      <c r="E19">
        <f>$B$3</f>
        <v/>
      </c>
      <c r="F19">
        <f>IF(ISNUMBER(B19),$B$3+3*SQRT($B$3/B19),NA())</f>
        <v/>
      </c>
      <c r="G19">
        <f>IF(ISNUMBER(B19),MAX(0,$B$3-3*SQRT($B$3/B19)),NA())</f>
        <v/>
      </c>
      <c r="H19">
        <f>IF(ISNUMBER(B19),IF(OR(D19&gt;F19,D19&lt;G19),"OUT",""),"")</f>
        <v/>
      </c>
    </row>
    <row r="20">
      <c r="A20" t="n">
        <v>16</v>
      </c>
      <c r="B20" s="6" t="n">
        <v>12</v>
      </c>
      <c r="C20" s="6" t="n">
        <v>40</v>
      </c>
      <c r="D20">
        <f>IF(ISNUMBER(B20),C20/B20,NA())</f>
        <v/>
      </c>
      <c r="E20">
        <f>$B$3</f>
        <v/>
      </c>
      <c r="F20">
        <f>IF(ISNUMBER(B20),$B$3+3*SQRT($B$3/B20),NA())</f>
        <v/>
      </c>
      <c r="G20">
        <f>IF(ISNUMBER(B20),MAX(0,$B$3-3*SQRT($B$3/B20)),NA())</f>
        <v/>
      </c>
      <c r="H20">
        <f>IF(ISNUMBER(B20),IF(OR(D20&gt;F20,D20&lt;G20),"OUT",""),"")</f>
        <v/>
      </c>
    </row>
    <row r="21">
      <c r="A21" t="n">
        <v>17</v>
      </c>
      <c r="B21" s="6" t="n">
        <v>12</v>
      </c>
      <c r="C21" s="6" t="n">
        <v>33</v>
      </c>
      <c r="D21">
        <f>IF(ISNUMBER(B21),C21/B21,NA())</f>
        <v/>
      </c>
      <c r="E21">
        <f>$B$3</f>
        <v/>
      </c>
      <c r="F21">
        <f>IF(ISNUMBER(B21),$B$3+3*SQRT($B$3/B21),NA())</f>
        <v/>
      </c>
      <c r="G21">
        <f>IF(ISNUMBER(B21),MAX(0,$B$3-3*SQRT($B$3/B21)),NA())</f>
        <v/>
      </c>
      <c r="H21">
        <f>IF(ISNUMBER(B21),IF(OR(D21&gt;F21,D21&lt;G21),"OUT",""),"")</f>
        <v/>
      </c>
    </row>
    <row r="22">
      <c r="A22" t="n">
        <v>18</v>
      </c>
      <c r="B22" s="6" t="n">
        <v>10</v>
      </c>
      <c r="C22" s="6" t="n">
        <v>25</v>
      </c>
      <c r="D22">
        <f>IF(ISNUMBER(B22),C22/B22,NA())</f>
        <v/>
      </c>
      <c r="E22">
        <f>$B$3</f>
        <v/>
      </c>
      <c r="F22">
        <f>IF(ISNUMBER(B22),$B$3+3*SQRT($B$3/B22),NA())</f>
        <v/>
      </c>
      <c r="G22">
        <f>IF(ISNUMBER(B22),MAX(0,$B$3-3*SQRT($B$3/B22)),NA())</f>
        <v/>
      </c>
      <c r="H22">
        <f>IF(ISNUMBER(B22),IF(OR(D22&gt;F22,D22&lt;G22),"OUT",""),"")</f>
        <v/>
      </c>
    </row>
    <row r="23">
      <c r="A23" t="n">
        <v>19</v>
      </c>
      <c r="B23" s="6" t="n">
        <v>10</v>
      </c>
      <c r="C23" s="6" t="n">
        <v>28</v>
      </c>
      <c r="D23">
        <f>IF(ISNUMBER(B23),C23/B23,NA())</f>
        <v/>
      </c>
      <c r="E23">
        <f>$B$3</f>
        <v/>
      </c>
      <c r="F23">
        <f>IF(ISNUMBER(B23),$B$3+3*SQRT($B$3/B23),NA())</f>
        <v/>
      </c>
      <c r="G23">
        <f>IF(ISNUMBER(B23),MAX(0,$B$3-3*SQRT($B$3/B23)),NA())</f>
        <v/>
      </c>
      <c r="H23">
        <f>IF(ISNUMBER(B23),IF(OR(D23&gt;F23,D23&lt;G23),"OUT",""),"")</f>
        <v/>
      </c>
    </row>
    <row r="24">
      <c r="A24" t="n">
        <v>20</v>
      </c>
      <c r="B24" s="6" t="n">
        <v>10</v>
      </c>
      <c r="C24" s="6" t="n">
        <v>39</v>
      </c>
      <c r="D24">
        <f>IF(ISNUMBER(B24),C24/B24,NA())</f>
        <v/>
      </c>
      <c r="E24">
        <f>$B$3</f>
        <v/>
      </c>
      <c r="F24">
        <f>IF(ISNUMBER(B24),$B$3+3*SQRT($B$3/B24),NA())</f>
        <v/>
      </c>
      <c r="G24">
        <f>IF(ISNUMBER(B24),MAX(0,$B$3-3*SQRT($B$3/B24)),NA())</f>
        <v/>
      </c>
      <c r="H24">
        <f>IF(ISNUMBER(B24),IF(OR(D24&gt;F24,D24&lt;G24),"OUT",""),"")</f>
        <v/>
      </c>
    </row>
    <row r="25">
      <c r="A25" t="n">
        <v>21</v>
      </c>
      <c r="B25" s="6" t="n">
        <v>10</v>
      </c>
      <c r="C25" s="6" t="n">
        <v>33</v>
      </c>
      <c r="D25">
        <f>IF(ISNUMBER(B25),C25/B25,NA())</f>
        <v/>
      </c>
      <c r="E25">
        <f>$B$3</f>
        <v/>
      </c>
      <c r="F25">
        <f>IF(ISNUMBER(B25),$B$3+3*SQRT($B$3/B25),NA())</f>
        <v/>
      </c>
      <c r="G25">
        <f>IF(ISNUMBER(B25),MAX(0,$B$3-3*SQRT($B$3/B25)),NA())</f>
        <v/>
      </c>
      <c r="H25">
        <f>IF(ISNUMBER(B25),IF(OR(D25&gt;F25,D25&lt;G25),"OUT",""),"")</f>
        <v/>
      </c>
    </row>
    <row r="26">
      <c r="A26" t="n">
        <v>22</v>
      </c>
      <c r="B26" s="6" t="n">
        <v>10</v>
      </c>
      <c r="C26" s="6" t="n">
        <v>26</v>
      </c>
      <c r="D26">
        <f>IF(ISNUMBER(B26),C26/B26,NA())</f>
        <v/>
      </c>
      <c r="E26">
        <f>$B$3</f>
        <v/>
      </c>
      <c r="F26">
        <f>IF(ISNUMBER(B26),$B$3+3*SQRT($B$3/B26),NA())</f>
        <v/>
      </c>
      <c r="G26">
        <f>IF(ISNUMBER(B26),MAX(0,$B$3-3*SQRT($B$3/B26)),NA())</f>
        <v/>
      </c>
      <c r="H26">
        <f>IF(ISNUMBER(B26),IF(OR(D26&gt;F26,D26&lt;G26),"OUT",""),"")</f>
        <v/>
      </c>
    </row>
    <row r="27">
      <c r="A27" t="n">
        <v>23</v>
      </c>
      <c r="B27" s="6" t="n">
        <v>8</v>
      </c>
      <c r="C27" s="6" t="n">
        <v>21</v>
      </c>
      <c r="D27">
        <f>IF(ISNUMBER(B27),C27/B27,NA())</f>
        <v/>
      </c>
      <c r="E27">
        <f>$B$3</f>
        <v/>
      </c>
      <c r="F27">
        <f>IF(ISNUMBER(B27),$B$3+3*SQRT($B$3/B27),NA())</f>
        <v/>
      </c>
      <c r="G27">
        <f>IF(ISNUMBER(B27),MAX(0,$B$3-3*SQRT($B$3/B27)),NA())</f>
        <v/>
      </c>
      <c r="H27">
        <f>IF(ISNUMBER(B27),IF(OR(D27&gt;F27,D27&lt;G27),"OUT",""),"")</f>
        <v/>
      </c>
    </row>
    <row r="28">
      <c r="A28" t="n">
        <v>24</v>
      </c>
      <c r="B28" s="6" t="n">
        <v>10</v>
      </c>
      <c r="C28" s="6" t="n">
        <v>30</v>
      </c>
      <c r="D28">
        <f>IF(ISNUMBER(B28),C28/B28,NA())</f>
        <v/>
      </c>
      <c r="E28">
        <f>$B$3</f>
        <v/>
      </c>
      <c r="F28">
        <f>IF(ISNUMBER(B28),$B$3+3*SQRT($B$3/B28),NA())</f>
        <v/>
      </c>
      <c r="G28">
        <f>IF(ISNUMBER(B28),MAX(0,$B$3-3*SQRT($B$3/B28)),NA())</f>
        <v/>
      </c>
      <c r="H28">
        <f>IF(ISNUMBER(B28),IF(OR(D28&gt;F28,D28&lt;G28),"OUT",""),"")</f>
        <v/>
      </c>
    </row>
    <row r="29">
      <c r="A29" t="n">
        <v>25</v>
      </c>
      <c r="B29" s="6" t="n">
        <v>12</v>
      </c>
      <c r="C29" s="6" t="n">
        <v>39</v>
      </c>
      <c r="D29">
        <f>IF(ISNUMBER(B29),C29/B29,NA())</f>
        <v/>
      </c>
      <c r="E29">
        <f>$B$3</f>
        <v/>
      </c>
      <c r="F29">
        <f>IF(ISNUMBER(B29),$B$3+3*SQRT($B$3/B29),NA())</f>
        <v/>
      </c>
      <c r="G29">
        <f>IF(ISNUMBER(B29),MAX(0,$B$3-3*SQRT($B$3/B29)),NA())</f>
        <v/>
      </c>
      <c r="H29">
        <f>IF(ISNUMBER(B29),IF(OR(D29&gt;F29,D29&lt;G29),"OUT",""),"")</f>
        <v/>
      </c>
    </row>
    <row r="30">
      <c r="A30" t="n">
        <v>26</v>
      </c>
      <c r="B30" s="6" t="n"/>
      <c r="C30" s="6" t="n"/>
      <c r="D30">
        <f>IF(ISNUMBER(B30),C30/B30,NA())</f>
        <v/>
      </c>
      <c r="E30">
        <f>$B$3</f>
        <v/>
      </c>
      <c r="F30">
        <f>IF(ISNUMBER(B30),$B$3+3*SQRT($B$3/B30),NA())</f>
        <v/>
      </c>
      <c r="G30">
        <f>IF(ISNUMBER(B30),MAX(0,$B$3-3*SQRT($B$3/B30)),NA())</f>
        <v/>
      </c>
      <c r="H30">
        <f>IF(ISNUMBER(B30),IF(OR(D30&gt;F30,D30&lt;G30),"OUT",""),"")</f>
        <v/>
      </c>
    </row>
    <row r="31">
      <c r="A31" t="n">
        <v>27</v>
      </c>
      <c r="B31" s="6" t="n"/>
      <c r="C31" s="6" t="n"/>
      <c r="D31">
        <f>IF(ISNUMBER(B31),C31/B31,NA())</f>
        <v/>
      </c>
      <c r="E31">
        <f>$B$3</f>
        <v/>
      </c>
      <c r="F31">
        <f>IF(ISNUMBER(B31),$B$3+3*SQRT($B$3/B31),NA())</f>
        <v/>
      </c>
      <c r="G31">
        <f>IF(ISNUMBER(B31),MAX(0,$B$3-3*SQRT($B$3/B31)),NA())</f>
        <v/>
      </c>
      <c r="H31">
        <f>IF(ISNUMBER(B31),IF(OR(D31&gt;F31,D31&lt;G31),"OUT",""),"")</f>
        <v/>
      </c>
    </row>
    <row r="32">
      <c r="A32" t="n">
        <v>28</v>
      </c>
      <c r="B32" s="6" t="n"/>
      <c r="C32" s="6" t="n"/>
      <c r="D32">
        <f>IF(ISNUMBER(B32),C32/B32,NA())</f>
        <v/>
      </c>
      <c r="E32">
        <f>$B$3</f>
        <v/>
      </c>
      <c r="F32">
        <f>IF(ISNUMBER(B32),$B$3+3*SQRT($B$3/B32),NA())</f>
        <v/>
      </c>
      <c r="G32">
        <f>IF(ISNUMBER(B32),MAX(0,$B$3-3*SQRT($B$3/B32)),NA())</f>
        <v/>
      </c>
      <c r="H32">
        <f>IF(ISNUMBER(B32),IF(OR(D32&gt;F32,D32&lt;G32),"OUT",""),"")</f>
        <v/>
      </c>
    </row>
    <row r="33">
      <c r="A33" t="n">
        <v>29</v>
      </c>
      <c r="B33" s="6" t="n"/>
      <c r="C33" s="6" t="n"/>
      <c r="D33">
        <f>IF(ISNUMBER(B33),C33/B33,NA())</f>
        <v/>
      </c>
      <c r="E33">
        <f>$B$3</f>
        <v/>
      </c>
      <c r="F33">
        <f>IF(ISNUMBER(B33),$B$3+3*SQRT($B$3/B33),NA())</f>
        <v/>
      </c>
      <c r="G33">
        <f>IF(ISNUMBER(B33),MAX(0,$B$3-3*SQRT($B$3/B33)),NA())</f>
        <v/>
      </c>
      <c r="H33">
        <f>IF(ISNUMBER(B33),IF(OR(D33&gt;F33,D33&lt;G33),"OUT",""),"")</f>
        <v/>
      </c>
    </row>
    <row r="34">
      <c r="A34" t="n">
        <v>30</v>
      </c>
      <c r="B34" s="6" t="n"/>
      <c r="C34" s="6" t="n"/>
      <c r="D34">
        <f>IF(ISNUMBER(B34),C34/B34,NA())</f>
        <v/>
      </c>
      <c r="E34">
        <f>$B$3</f>
        <v/>
      </c>
      <c r="F34">
        <f>IF(ISNUMBER(B34),$B$3+3*SQRT($B$3/B34),NA())</f>
        <v/>
      </c>
      <c r="G34">
        <f>IF(ISNUMBER(B34),MAX(0,$B$3-3*SQRT($B$3/B34)),NA())</f>
        <v/>
      </c>
      <c r="H34">
        <f>IF(ISNUMBER(B34),IF(OR(D34&gt;F34,D34&lt;G34),"OUT",""),"")</f>
        <v/>
      </c>
    </row>
    <row r="35">
      <c r="A35" t="n">
        <v>31</v>
      </c>
      <c r="B35" s="6" t="n"/>
      <c r="C35" s="6" t="n"/>
      <c r="D35">
        <f>IF(ISNUMBER(B35),C35/B35,NA())</f>
        <v/>
      </c>
      <c r="E35">
        <f>$B$3</f>
        <v/>
      </c>
      <c r="F35">
        <f>IF(ISNUMBER(B35),$B$3+3*SQRT($B$3/B35),NA())</f>
        <v/>
      </c>
      <c r="G35">
        <f>IF(ISNUMBER(B35),MAX(0,$B$3-3*SQRT($B$3/B35)),NA())</f>
        <v/>
      </c>
      <c r="H35">
        <f>IF(ISNUMBER(B35),IF(OR(D35&gt;F35,D35&lt;G35),"OUT",""),"")</f>
        <v/>
      </c>
    </row>
    <row r="36">
      <c r="A36" t="n">
        <v>32</v>
      </c>
      <c r="B36" s="6" t="n"/>
      <c r="C36" s="6" t="n"/>
      <c r="D36">
        <f>IF(ISNUMBER(B36),C36/B36,NA())</f>
        <v/>
      </c>
      <c r="E36">
        <f>$B$3</f>
        <v/>
      </c>
      <c r="F36">
        <f>IF(ISNUMBER(B36),$B$3+3*SQRT($B$3/B36),NA())</f>
        <v/>
      </c>
      <c r="G36">
        <f>IF(ISNUMBER(B36),MAX(0,$B$3-3*SQRT($B$3/B36)),NA())</f>
        <v/>
      </c>
      <c r="H36">
        <f>IF(ISNUMBER(B36),IF(OR(D36&gt;F36,D36&lt;G36),"OUT",""),"")</f>
        <v/>
      </c>
    </row>
    <row r="37">
      <c r="A37" t="n">
        <v>33</v>
      </c>
      <c r="B37" s="6" t="n"/>
      <c r="C37" s="6" t="n"/>
      <c r="D37">
        <f>IF(ISNUMBER(B37),C37/B37,NA())</f>
        <v/>
      </c>
      <c r="E37">
        <f>$B$3</f>
        <v/>
      </c>
      <c r="F37">
        <f>IF(ISNUMBER(B37),$B$3+3*SQRT($B$3/B37),NA())</f>
        <v/>
      </c>
      <c r="G37">
        <f>IF(ISNUMBER(B37),MAX(0,$B$3-3*SQRT($B$3/B37)),NA())</f>
        <v/>
      </c>
      <c r="H37">
        <f>IF(ISNUMBER(B37),IF(OR(D37&gt;F37,D37&lt;G37),"OUT",""),"")</f>
        <v/>
      </c>
    </row>
    <row r="38">
      <c r="A38" t="n">
        <v>34</v>
      </c>
      <c r="B38" s="6" t="n"/>
      <c r="C38" s="6" t="n"/>
      <c r="D38">
        <f>IF(ISNUMBER(B38),C38/B38,NA())</f>
        <v/>
      </c>
      <c r="E38">
        <f>$B$3</f>
        <v/>
      </c>
      <c r="F38">
        <f>IF(ISNUMBER(B38),$B$3+3*SQRT($B$3/B38),NA())</f>
        <v/>
      </c>
      <c r="G38">
        <f>IF(ISNUMBER(B38),MAX(0,$B$3-3*SQRT($B$3/B38)),NA())</f>
        <v/>
      </c>
      <c r="H38">
        <f>IF(ISNUMBER(B38),IF(OR(D38&gt;F38,D38&lt;G38),"OUT",""),"")</f>
        <v/>
      </c>
    </row>
    <row r="39">
      <c r="A39" t="n">
        <v>35</v>
      </c>
      <c r="B39" s="6" t="n"/>
      <c r="C39" s="6" t="n"/>
      <c r="D39">
        <f>IF(ISNUMBER(B39),C39/B39,NA())</f>
        <v/>
      </c>
      <c r="E39">
        <f>$B$3</f>
        <v/>
      </c>
      <c r="F39">
        <f>IF(ISNUMBER(B39),$B$3+3*SQRT($B$3/B39),NA())</f>
        <v/>
      </c>
      <c r="G39">
        <f>IF(ISNUMBER(B39),MAX(0,$B$3-3*SQRT($B$3/B39)),NA())</f>
        <v/>
      </c>
      <c r="H39">
        <f>IF(ISNUMBER(B39),IF(OR(D39&gt;F39,D39&lt;G39),"OUT",""),"")</f>
        <v/>
      </c>
    </row>
    <row r="40">
      <c r="A40" t="n">
        <v>36</v>
      </c>
      <c r="B40" s="6" t="n"/>
      <c r="C40" s="6" t="n"/>
      <c r="D40">
        <f>IF(ISNUMBER(B40),C40/B40,NA())</f>
        <v/>
      </c>
      <c r="E40">
        <f>$B$3</f>
        <v/>
      </c>
      <c r="F40">
        <f>IF(ISNUMBER(B40),$B$3+3*SQRT($B$3/B40),NA())</f>
        <v/>
      </c>
      <c r="G40">
        <f>IF(ISNUMBER(B40),MAX(0,$B$3-3*SQRT($B$3/B40)),NA())</f>
        <v/>
      </c>
      <c r="H40">
        <f>IF(ISNUMBER(B40),IF(OR(D40&gt;F40,D40&lt;G40),"OUT",""),"")</f>
        <v/>
      </c>
    </row>
    <row r="41">
      <c r="A41" t="n">
        <v>37</v>
      </c>
      <c r="B41" s="6" t="n"/>
      <c r="C41" s="6" t="n"/>
      <c r="D41">
        <f>IF(ISNUMBER(B41),C41/B41,NA())</f>
        <v/>
      </c>
      <c r="E41">
        <f>$B$3</f>
        <v/>
      </c>
      <c r="F41">
        <f>IF(ISNUMBER(B41),$B$3+3*SQRT($B$3/B41),NA())</f>
        <v/>
      </c>
      <c r="G41">
        <f>IF(ISNUMBER(B41),MAX(0,$B$3-3*SQRT($B$3/B41)),NA())</f>
        <v/>
      </c>
      <c r="H41">
        <f>IF(ISNUMBER(B41),IF(OR(D41&gt;F41,D41&lt;G41),"OUT",""),"")</f>
        <v/>
      </c>
    </row>
    <row r="42">
      <c r="A42" t="n">
        <v>38</v>
      </c>
      <c r="B42" s="6" t="n"/>
      <c r="C42" s="6" t="n"/>
      <c r="D42">
        <f>IF(ISNUMBER(B42),C42/B42,NA())</f>
        <v/>
      </c>
      <c r="E42">
        <f>$B$3</f>
        <v/>
      </c>
      <c r="F42">
        <f>IF(ISNUMBER(B42),$B$3+3*SQRT($B$3/B42),NA())</f>
        <v/>
      </c>
      <c r="G42">
        <f>IF(ISNUMBER(B42),MAX(0,$B$3-3*SQRT($B$3/B42)),NA())</f>
        <v/>
      </c>
      <c r="H42">
        <f>IF(ISNUMBER(B42),IF(OR(D42&gt;F42,D42&lt;G42),"OUT",""),"")</f>
        <v/>
      </c>
    </row>
    <row r="43">
      <c r="A43" t="n">
        <v>39</v>
      </c>
      <c r="B43" s="6" t="n"/>
      <c r="C43" s="6" t="n"/>
      <c r="D43">
        <f>IF(ISNUMBER(B43),C43/B43,NA())</f>
        <v/>
      </c>
      <c r="E43">
        <f>$B$3</f>
        <v/>
      </c>
      <c r="F43">
        <f>IF(ISNUMBER(B43),$B$3+3*SQRT($B$3/B43),NA())</f>
        <v/>
      </c>
      <c r="G43">
        <f>IF(ISNUMBER(B43),MAX(0,$B$3-3*SQRT($B$3/B43)),NA())</f>
        <v/>
      </c>
      <c r="H43">
        <f>IF(ISNUMBER(B43),IF(OR(D43&gt;F43,D43&lt;G43),"OUT",""),"")</f>
        <v/>
      </c>
    </row>
    <row r="44">
      <c r="A44" t="n">
        <v>40</v>
      </c>
      <c r="B44" s="6" t="n"/>
      <c r="C44" s="6" t="n"/>
      <c r="D44">
        <f>IF(ISNUMBER(B44),C44/B44,NA())</f>
        <v/>
      </c>
      <c r="E44">
        <f>$B$3</f>
        <v/>
      </c>
      <c r="F44">
        <f>IF(ISNUMBER(B44),$B$3+3*SQRT($B$3/B44),NA())</f>
        <v/>
      </c>
      <c r="G44">
        <f>IF(ISNUMBER(B44),MAX(0,$B$3-3*SQRT($B$3/B44)),NA())</f>
        <v/>
      </c>
      <c r="H44">
        <f>IF(ISNUMBER(B44),IF(OR(D44&gt;F44,D44&lt;G44),"OUT",""),"")</f>
        <v/>
      </c>
    </row>
    <row r="45">
      <c r="A45" t="n">
        <v>41</v>
      </c>
      <c r="B45" s="6" t="n"/>
      <c r="C45" s="6" t="n"/>
      <c r="D45">
        <f>IF(ISNUMBER(B45),C45/B45,NA())</f>
        <v/>
      </c>
      <c r="E45">
        <f>$B$3</f>
        <v/>
      </c>
      <c r="F45">
        <f>IF(ISNUMBER(B45),$B$3+3*SQRT($B$3/B45),NA())</f>
        <v/>
      </c>
      <c r="G45">
        <f>IF(ISNUMBER(B45),MAX(0,$B$3-3*SQRT($B$3/B45)),NA())</f>
        <v/>
      </c>
      <c r="H45">
        <f>IF(ISNUMBER(B45),IF(OR(D45&gt;F45,D45&lt;G45),"OUT",""),"")</f>
        <v/>
      </c>
    </row>
    <row r="46">
      <c r="A46" t="n">
        <v>42</v>
      </c>
      <c r="B46" s="6" t="n"/>
      <c r="C46" s="6" t="n"/>
      <c r="D46">
        <f>IF(ISNUMBER(B46),C46/B46,NA())</f>
        <v/>
      </c>
      <c r="E46">
        <f>$B$3</f>
        <v/>
      </c>
      <c r="F46">
        <f>IF(ISNUMBER(B46),$B$3+3*SQRT($B$3/B46),NA())</f>
        <v/>
      </c>
      <c r="G46">
        <f>IF(ISNUMBER(B46),MAX(0,$B$3-3*SQRT($B$3/B46)),NA())</f>
        <v/>
      </c>
      <c r="H46">
        <f>IF(ISNUMBER(B46),IF(OR(D46&gt;F46,D46&lt;G46),"OUT",""),"")</f>
        <v/>
      </c>
    </row>
    <row r="47">
      <c r="A47" t="n">
        <v>43</v>
      </c>
      <c r="B47" s="6" t="n"/>
      <c r="C47" s="6" t="n"/>
      <c r="D47">
        <f>IF(ISNUMBER(B47),C47/B47,NA())</f>
        <v/>
      </c>
      <c r="E47">
        <f>$B$3</f>
        <v/>
      </c>
      <c r="F47">
        <f>IF(ISNUMBER(B47),$B$3+3*SQRT($B$3/B47),NA())</f>
        <v/>
      </c>
      <c r="G47">
        <f>IF(ISNUMBER(B47),MAX(0,$B$3-3*SQRT($B$3/B47)),NA())</f>
        <v/>
      </c>
      <c r="H47">
        <f>IF(ISNUMBER(B47),IF(OR(D47&gt;F47,D47&lt;G47),"OUT",""),"")</f>
        <v/>
      </c>
    </row>
    <row r="48">
      <c r="A48" t="n">
        <v>44</v>
      </c>
      <c r="B48" s="6" t="n"/>
      <c r="C48" s="6" t="n"/>
      <c r="D48">
        <f>IF(ISNUMBER(B48),C48/B48,NA())</f>
        <v/>
      </c>
      <c r="E48">
        <f>$B$3</f>
        <v/>
      </c>
      <c r="F48">
        <f>IF(ISNUMBER(B48),$B$3+3*SQRT($B$3/B48),NA())</f>
        <v/>
      </c>
      <c r="G48">
        <f>IF(ISNUMBER(B48),MAX(0,$B$3-3*SQRT($B$3/B48)),NA())</f>
        <v/>
      </c>
      <c r="H48">
        <f>IF(ISNUMBER(B48),IF(OR(D48&gt;F48,D48&lt;G48),"OUT",""),"")</f>
        <v/>
      </c>
    </row>
    <row r="49">
      <c r="A49" t="n">
        <v>45</v>
      </c>
      <c r="B49" s="6" t="n"/>
      <c r="C49" s="6" t="n"/>
      <c r="D49">
        <f>IF(ISNUMBER(B49),C49/B49,NA())</f>
        <v/>
      </c>
      <c r="E49">
        <f>$B$3</f>
        <v/>
      </c>
      <c r="F49">
        <f>IF(ISNUMBER(B49),$B$3+3*SQRT($B$3/B49),NA())</f>
        <v/>
      </c>
      <c r="G49">
        <f>IF(ISNUMBER(B49),MAX(0,$B$3-3*SQRT($B$3/B49)),NA())</f>
        <v/>
      </c>
      <c r="H49">
        <f>IF(ISNUMBER(B49),IF(OR(D49&gt;F49,D49&lt;G49),"OUT",""),"")</f>
        <v/>
      </c>
    </row>
    <row r="50">
      <c r="A50" t="n">
        <v>46</v>
      </c>
      <c r="B50" s="6" t="n"/>
      <c r="C50" s="6" t="n"/>
      <c r="D50">
        <f>IF(ISNUMBER(B50),C50/B50,NA())</f>
        <v/>
      </c>
      <c r="E50">
        <f>$B$3</f>
        <v/>
      </c>
      <c r="F50">
        <f>IF(ISNUMBER(B50),$B$3+3*SQRT($B$3/B50),NA())</f>
        <v/>
      </c>
      <c r="G50">
        <f>IF(ISNUMBER(B50),MAX(0,$B$3-3*SQRT($B$3/B50)),NA())</f>
        <v/>
      </c>
      <c r="H50">
        <f>IF(ISNUMBER(B50),IF(OR(D50&gt;F50,D50&lt;G50),"OUT",""),"")</f>
        <v/>
      </c>
    </row>
    <row r="51">
      <c r="A51" t="n">
        <v>47</v>
      </c>
      <c r="B51" s="6" t="n"/>
      <c r="C51" s="6" t="n"/>
      <c r="D51">
        <f>IF(ISNUMBER(B51),C51/B51,NA())</f>
        <v/>
      </c>
      <c r="E51">
        <f>$B$3</f>
        <v/>
      </c>
      <c r="F51">
        <f>IF(ISNUMBER(B51),$B$3+3*SQRT($B$3/B51),NA())</f>
        <v/>
      </c>
      <c r="G51">
        <f>IF(ISNUMBER(B51),MAX(0,$B$3-3*SQRT($B$3/B51)),NA())</f>
        <v/>
      </c>
      <c r="H51">
        <f>IF(ISNUMBER(B51),IF(OR(D51&gt;F51,D51&lt;G51),"OUT",""),"")</f>
        <v/>
      </c>
    </row>
    <row r="52">
      <c r="A52" t="n">
        <v>48</v>
      </c>
      <c r="B52" s="6" t="n"/>
      <c r="C52" s="6" t="n"/>
      <c r="D52">
        <f>IF(ISNUMBER(B52),C52/B52,NA())</f>
        <v/>
      </c>
      <c r="E52">
        <f>$B$3</f>
        <v/>
      </c>
      <c r="F52">
        <f>IF(ISNUMBER(B52),$B$3+3*SQRT($B$3/B52),NA())</f>
        <v/>
      </c>
      <c r="G52">
        <f>IF(ISNUMBER(B52),MAX(0,$B$3-3*SQRT($B$3/B52)),NA())</f>
        <v/>
      </c>
      <c r="H52">
        <f>IF(ISNUMBER(B52),IF(OR(D52&gt;F52,D52&lt;G52),"OUT",""),"")</f>
        <v/>
      </c>
    </row>
    <row r="53">
      <c r="A53" t="n">
        <v>49</v>
      </c>
      <c r="B53" s="6" t="n"/>
      <c r="C53" s="6" t="n"/>
      <c r="D53">
        <f>IF(ISNUMBER(B53),C53/B53,NA())</f>
        <v/>
      </c>
      <c r="E53">
        <f>$B$3</f>
        <v/>
      </c>
      <c r="F53">
        <f>IF(ISNUMBER(B53),$B$3+3*SQRT($B$3/B53),NA())</f>
        <v/>
      </c>
      <c r="G53">
        <f>IF(ISNUMBER(B53),MAX(0,$B$3-3*SQRT($B$3/B53)),NA())</f>
        <v/>
      </c>
      <c r="H53">
        <f>IF(ISNUMBER(B53),IF(OR(D53&gt;F53,D53&lt;G53),"OUT",""),"")</f>
        <v/>
      </c>
    </row>
    <row r="54">
      <c r="A54" t="n">
        <v>50</v>
      </c>
      <c r="B54" s="6" t="n"/>
      <c r="C54" s="6" t="n"/>
      <c r="D54">
        <f>IF(ISNUMBER(B54),C54/B54,NA())</f>
        <v/>
      </c>
      <c r="E54">
        <f>$B$3</f>
        <v/>
      </c>
      <c r="F54">
        <f>IF(ISNUMBER(B54),$B$3+3*SQRT($B$3/B54),NA())</f>
        <v/>
      </c>
      <c r="G54">
        <f>IF(ISNUMBER(B54),MAX(0,$B$3-3*SQRT($B$3/B54)),NA())</f>
        <v/>
      </c>
      <c r="H54">
        <f>IF(ISNUMBER(B54),IF(OR(D54&gt;F54,D54&lt;G54),"OUT",""),"")</f>
        <v/>
      </c>
    </row>
    <row r="55">
      <c r="A55" t="n">
        <v>51</v>
      </c>
      <c r="B55" s="6" t="n"/>
      <c r="C55" s="6" t="n"/>
      <c r="D55">
        <f>IF(ISNUMBER(B55),C55/B55,NA())</f>
        <v/>
      </c>
      <c r="E55">
        <f>$B$3</f>
        <v/>
      </c>
      <c r="F55">
        <f>IF(ISNUMBER(B55),$B$3+3*SQRT($B$3/B55),NA())</f>
        <v/>
      </c>
      <c r="G55">
        <f>IF(ISNUMBER(B55),MAX(0,$B$3-3*SQRT($B$3/B55)),NA())</f>
        <v/>
      </c>
      <c r="H55">
        <f>IF(ISNUMBER(B55),IF(OR(D55&gt;F55,D55&lt;G55),"OUT",""),"")</f>
        <v/>
      </c>
    </row>
    <row r="56">
      <c r="A56" t="n">
        <v>52</v>
      </c>
      <c r="B56" s="6" t="n"/>
      <c r="C56" s="6" t="n"/>
      <c r="D56">
        <f>IF(ISNUMBER(B56),C56/B56,NA())</f>
        <v/>
      </c>
      <c r="E56">
        <f>$B$3</f>
        <v/>
      </c>
      <c r="F56">
        <f>IF(ISNUMBER(B56),$B$3+3*SQRT($B$3/B56),NA())</f>
        <v/>
      </c>
      <c r="G56">
        <f>IF(ISNUMBER(B56),MAX(0,$B$3-3*SQRT($B$3/B56)),NA())</f>
        <v/>
      </c>
      <c r="H56">
        <f>IF(ISNUMBER(B56),IF(OR(D56&gt;F56,D56&lt;G56),"OUT",""),"")</f>
        <v/>
      </c>
    </row>
    <row r="57">
      <c r="A57" t="n">
        <v>53</v>
      </c>
      <c r="B57" s="6" t="n"/>
      <c r="C57" s="6" t="n"/>
      <c r="D57">
        <f>IF(ISNUMBER(B57),C57/B57,NA())</f>
        <v/>
      </c>
      <c r="E57">
        <f>$B$3</f>
        <v/>
      </c>
      <c r="F57">
        <f>IF(ISNUMBER(B57),$B$3+3*SQRT($B$3/B57),NA())</f>
        <v/>
      </c>
      <c r="G57">
        <f>IF(ISNUMBER(B57),MAX(0,$B$3-3*SQRT($B$3/B57)),NA())</f>
        <v/>
      </c>
      <c r="H57">
        <f>IF(ISNUMBER(B57),IF(OR(D57&gt;F57,D57&lt;G57),"OUT",""),"")</f>
        <v/>
      </c>
    </row>
    <row r="58">
      <c r="A58" t="n">
        <v>54</v>
      </c>
      <c r="B58" s="6" t="n"/>
      <c r="C58" s="6" t="n"/>
      <c r="D58">
        <f>IF(ISNUMBER(B58),C58/B58,NA())</f>
        <v/>
      </c>
      <c r="E58">
        <f>$B$3</f>
        <v/>
      </c>
      <c r="F58">
        <f>IF(ISNUMBER(B58),$B$3+3*SQRT($B$3/B58),NA())</f>
        <v/>
      </c>
      <c r="G58">
        <f>IF(ISNUMBER(B58),MAX(0,$B$3-3*SQRT($B$3/B58)),NA())</f>
        <v/>
      </c>
      <c r="H58">
        <f>IF(ISNUMBER(B58),IF(OR(D58&gt;F58,D58&lt;G58),"OUT",""),"")</f>
        <v/>
      </c>
    </row>
    <row r="59">
      <c r="A59" t="n">
        <v>55</v>
      </c>
      <c r="B59" s="6" t="n"/>
      <c r="C59" s="6" t="n"/>
      <c r="D59">
        <f>IF(ISNUMBER(B59),C59/B59,NA())</f>
        <v/>
      </c>
      <c r="E59">
        <f>$B$3</f>
        <v/>
      </c>
      <c r="F59">
        <f>IF(ISNUMBER(B59),$B$3+3*SQRT($B$3/B59),NA())</f>
        <v/>
      </c>
      <c r="G59">
        <f>IF(ISNUMBER(B59),MAX(0,$B$3-3*SQRT($B$3/B59)),NA())</f>
        <v/>
      </c>
      <c r="H59">
        <f>IF(ISNUMBER(B59),IF(OR(D59&gt;F59,D59&lt;G59),"OUT",""),"")</f>
        <v/>
      </c>
    </row>
    <row r="60">
      <c r="A60" t="n">
        <v>56</v>
      </c>
      <c r="B60" s="6" t="n"/>
      <c r="C60" s="6" t="n"/>
      <c r="D60">
        <f>IF(ISNUMBER(B60),C60/B60,NA())</f>
        <v/>
      </c>
      <c r="E60">
        <f>$B$3</f>
        <v/>
      </c>
      <c r="F60">
        <f>IF(ISNUMBER(B60),$B$3+3*SQRT($B$3/B60),NA())</f>
        <v/>
      </c>
      <c r="G60">
        <f>IF(ISNUMBER(B60),MAX(0,$B$3-3*SQRT($B$3/B60)),NA())</f>
        <v/>
      </c>
      <c r="H60">
        <f>IF(ISNUMBER(B60),IF(OR(D60&gt;F60,D60&lt;G60),"OUT",""),"")</f>
        <v/>
      </c>
    </row>
    <row r="61">
      <c r="A61" t="n">
        <v>57</v>
      </c>
      <c r="B61" s="6" t="n"/>
      <c r="C61" s="6" t="n"/>
      <c r="D61">
        <f>IF(ISNUMBER(B61),C61/B61,NA())</f>
        <v/>
      </c>
      <c r="E61">
        <f>$B$3</f>
        <v/>
      </c>
      <c r="F61">
        <f>IF(ISNUMBER(B61),$B$3+3*SQRT($B$3/B61),NA())</f>
        <v/>
      </c>
      <c r="G61">
        <f>IF(ISNUMBER(B61),MAX(0,$B$3-3*SQRT($B$3/B61)),NA())</f>
        <v/>
      </c>
      <c r="H61">
        <f>IF(ISNUMBER(B61),IF(OR(D61&gt;F61,D61&lt;G61),"OUT",""),"")</f>
        <v/>
      </c>
    </row>
    <row r="62">
      <c r="A62" t="n">
        <v>58</v>
      </c>
      <c r="B62" s="6" t="n"/>
      <c r="C62" s="6" t="n"/>
      <c r="D62">
        <f>IF(ISNUMBER(B62),C62/B62,NA())</f>
        <v/>
      </c>
      <c r="E62">
        <f>$B$3</f>
        <v/>
      </c>
      <c r="F62">
        <f>IF(ISNUMBER(B62),$B$3+3*SQRT($B$3/B62),NA())</f>
        <v/>
      </c>
      <c r="G62">
        <f>IF(ISNUMBER(B62),MAX(0,$B$3-3*SQRT($B$3/B62)),NA())</f>
        <v/>
      </c>
      <c r="H62">
        <f>IF(ISNUMBER(B62),IF(OR(D62&gt;F62,D62&lt;G62),"OUT",""),"")</f>
        <v/>
      </c>
    </row>
    <row r="63">
      <c r="A63" t="n">
        <v>59</v>
      </c>
      <c r="B63" s="6" t="n"/>
      <c r="C63" s="6" t="n"/>
      <c r="D63">
        <f>IF(ISNUMBER(B63),C63/B63,NA())</f>
        <v/>
      </c>
      <c r="E63">
        <f>$B$3</f>
        <v/>
      </c>
      <c r="F63">
        <f>IF(ISNUMBER(B63),$B$3+3*SQRT($B$3/B63),NA())</f>
        <v/>
      </c>
      <c r="G63">
        <f>IF(ISNUMBER(B63),MAX(0,$B$3-3*SQRT($B$3/B63)),NA())</f>
        <v/>
      </c>
      <c r="H63">
        <f>IF(ISNUMBER(B63),IF(OR(D63&gt;F63,D63&lt;G63),"OUT",""),"")</f>
        <v/>
      </c>
    </row>
    <row r="64">
      <c r="A64" t="n">
        <v>60</v>
      </c>
      <c r="B64" s="6" t="n"/>
      <c r="C64" s="6" t="n"/>
      <c r="D64">
        <f>IF(ISNUMBER(B64),C64/B64,NA())</f>
        <v/>
      </c>
      <c r="E64">
        <f>$B$3</f>
        <v/>
      </c>
      <c r="F64">
        <f>IF(ISNUMBER(B64),$B$3+3*SQRT($B$3/B64),NA())</f>
        <v/>
      </c>
      <c r="G64">
        <f>IF(ISNUMBER(B64),MAX(0,$B$3-3*SQRT($B$3/B64)),NA())</f>
        <v/>
      </c>
      <c r="H64">
        <f>IF(ISNUMBER(B64),IF(OR(D64&gt;F64,D64&lt;G64),"OUT",""),"")</f>
        <v/>
      </c>
    </row>
    <row r="65">
      <c r="A65" t="n">
        <v>61</v>
      </c>
      <c r="B65" s="6" t="n"/>
      <c r="C65" s="6" t="n"/>
      <c r="D65">
        <f>IF(ISNUMBER(B65),C65/B65,NA())</f>
        <v/>
      </c>
      <c r="E65">
        <f>$B$3</f>
        <v/>
      </c>
      <c r="F65">
        <f>IF(ISNUMBER(B65),$B$3+3*SQRT($B$3/B65),NA())</f>
        <v/>
      </c>
      <c r="G65">
        <f>IF(ISNUMBER(B65),MAX(0,$B$3-3*SQRT($B$3/B65)),NA())</f>
        <v/>
      </c>
      <c r="H65">
        <f>IF(ISNUMBER(B65),IF(OR(D65&gt;F65,D65&lt;G65),"OUT",""),"")</f>
        <v/>
      </c>
    </row>
    <row r="66">
      <c r="A66" t="n">
        <v>62</v>
      </c>
      <c r="B66" s="6" t="n"/>
      <c r="C66" s="6" t="n"/>
      <c r="D66">
        <f>IF(ISNUMBER(B66),C66/B66,NA())</f>
        <v/>
      </c>
      <c r="E66">
        <f>$B$3</f>
        <v/>
      </c>
      <c r="F66">
        <f>IF(ISNUMBER(B66),$B$3+3*SQRT($B$3/B66),NA())</f>
        <v/>
      </c>
      <c r="G66">
        <f>IF(ISNUMBER(B66),MAX(0,$B$3-3*SQRT($B$3/B66)),NA())</f>
        <v/>
      </c>
      <c r="H66">
        <f>IF(ISNUMBER(B66),IF(OR(D66&gt;F66,D66&lt;G66),"OUT",""),"")</f>
        <v/>
      </c>
    </row>
    <row r="67">
      <c r="A67" t="n">
        <v>63</v>
      </c>
      <c r="B67" s="6" t="n"/>
      <c r="C67" s="6" t="n"/>
      <c r="D67">
        <f>IF(ISNUMBER(B67),C67/B67,NA())</f>
        <v/>
      </c>
      <c r="E67">
        <f>$B$3</f>
        <v/>
      </c>
      <c r="F67">
        <f>IF(ISNUMBER(B67),$B$3+3*SQRT($B$3/B67),NA())</f>
        <v/>
      </c>
      <c r="G67">
        <f>IF(ISNUMBER(B67),MAX(0,$B$3-3*SQRT($B$3/B67)),NA())</f>
        <v/>
      </c>
      <c r="H67">
        <f>IF(ISNUMBER(B67),IF(OR(D67&gt;F67,D67&lt;G67),"OUT",""),"")</f>
        <v/>
      </c>
    </row>
    <row r="68">
      <c r="A68" t="n">
        <v>64</v>
      </c>
      <c r="B68" s="6" t="n"/>
      <c r="C68" s="6" t="n"/>
      <c r="D68">
        <f>IF(ISNUMBER(B68),C68/B68,NA())</f>
        <v/>
      </c>
      <c r="E68">
        <f>$B$3</f>
        <v/>
      </c>
      <c r="F68">
        <f>IF(ISNUMBER(B68),$B$3+3*SQRT($B$3/B68),NA())</f>
        <v/>
      </c>
      <c r="G68">
        <f>IF(ISNUMBER(B68),MAX(0,$B$3-3*SQRT($B$3/B68)),NA())</f>
        <v/>
      </c>
      <c r="H68">
        <f>IF(ISNUMBER(B68),IF(OR(D68&gt;F68,D68&lt;G68),"OUT",""),"")</f>
        <v/>
      </c>
    </row>
    <row r="69">
      <c r="A69" t="n">
        <v>65</v>
      </c>
      <c r="B69" s="6" t="n"/>
      <c r="C69" s="6" t="n"/>
      <c r="D69">
        <f>IF(ISNUMBER(B69),C69/B69,NA())</f>
        <v/>
      </c>
      <c r="E69">
        <f>$B$3</f>
        <v/>
      </c>
      <c r="F69">
        <f>IF(ISNUMBER(B69),$B$3+3*SQRT($B$3/B69),NA())</f>
        <v/>
      </c>
      <c r="G69">
        <f>IF(ISNUMBER(B69),MAX(0,$B$3-3*SQRT($B$3/B69)),NA())</f>
        <v/>
      </c>
      <c r="H69">
        <f>IF(ISNUMBER(B69),IF(OR(D69&gt;F69,D69&lt;G69),"OUT",""),"")</f>
        <v/>
      </c>
    </row>
    <row r="70">
      <c r="A70" t="n">
        <v>66</v>
      </c>
      <c r="B70" s="6" t="n"/>
      <c r="C70" s="6" t="n"/>
      <c r="D70">
        <f>IF(ISNUMBER(B70),C70/B70,NA())</f>
        <v/>
      </c>
      <c r="E70">
        <f>$B$3</f>
        <v/>
      </c>
      <c r="F70">
        <f>IF(ISNUMBER(B70),$B$3+3*SQRT($B$3/B70),NA())</f>
        <v/>
      </c>
      <c r="G70">
        <f>IF(ISNUMBER(B70),MAX(0,$B$3-3*SQRT($B$3/B70)),NA())</f>
        <v/>
      </c>
      <c r="H70">
        <f>IF(ISNUMBER(B70),IF(OR(D70&gt;F70,D70&lt;G70),"OUT",""),"")</f>
        <v/>
      </c>
    </row>
    <row r="71">
      <c r="A71" t="n">
        <v>67</v>
      </c>
      <c r="B71" s="6" t="n"/>
      <c r="C71" s="6" t="n"/>
      <c r="D71">
        <f>IF(ISNUMBER(B71),C71/B71,NA())</f>
        <v/>
      </c>
      <c r="E71">
        <f>$B$3</f>
        <v/>
      </c>
      <c r="F71">
        <f>IF(ISNUMBER(B71),$B$3+3*SQRT($B$3/B71),NA())</f>
        <v/>
      </c>
      <c r="G71">
        <f>IF(ISNUMBER(B71),MAX(0,$B$3-3*SQRT($B$3/B71)),NA())</f>
        <v/>
      </c>
      <c r="H71">
        <f>IF(ISNUMBER(B71),IF(OR(D71&gt;F71,D71&lt;G71),"OUT",""),"")</f>
        <v/>
      </c>
    </row>
    <row r="72">
      <c r="A72" t="n">
        <v>68</v>
      </c>
      <c r="B72" s="6" t="n"/>
      <c r="C72" s="6" t="n"/>
      <c r="D72">
        <f>IF(ISNUMBER(B72),C72/B72,NA())</f>
        <v/>
      </c>
      <c r="E72">
        <f>$B$3</f>
        <v/>
      </c>
      <c r="F72">
        <f>IF(ISNUMBER(B72),$B$3+3*SQRT($B$3/B72),NA())</f>
        <v/>
      </c>
      <c r="G72">
        <f>IF(ISNUMBER(B72),MAX(0,$B$3-3*SQRT($B$3/B72)),NA())</f>
        <v/>
      </c>
      <c r="H72">
        <f>IF(ISNUMBER(B72),IF(OR(D72&gt;F72,D72&lt;G72),"OUT",""),"")</f>
        <v/>
      </c>
    </row>
    <row r="73">
      <c r="A73" t="n">
        <v>69</v>
      </c>
      <c r="B73" s="6" t="n"/>
      <c r="C73" s="6" t="n"/>
      <c r="D73">
        <f>IF(ISNUMBER(B73),C73/B73,NA())</f>
        <v/>
      </c>
      <c r="E73">
        <f>$B$3</f>
        <v/>
      </c>
      <c r="F73">
        <f>IF(ISNUMBER(B73),$B$3+3*SQRT($B$3/B73),NA())</f>
        <v/>
      </c>
      <c r="G73">
        <f>IF(ISNUMBER(B73),MAX(0,$B$3-3*SQRT($B$3/B73)),NA())</f>
        <v/>
      </c>
      <c r="H73">
        <f>IF(ISNUMBER(B73),IF(OR(D73&gt;F73,D73&lt;G73),"OUT",""),"")</f>
        <v/>
      </c>
    </row>
    <row r="74">
      <c r="A74" t="n">
        <v>70</v>
      </c>
      <c r="B74" s="6" t="n"/>
      <c r="C74" s="6" t="n"/>
      <c r="D74">
        <f>IF(ISNUMBER(B74),C74/B74,NA())</f>
        <v/>
      </c>
      <c r="E74">
        <f>$B$3</f>
        <v/>
      </c>
      <c r="F74">
        <f>IF(ISNUMBER(B74),$B$3+3*SQRT($B$3/B74),NA())</f>
        <v/>
      </c>
      <c r="G74">
        <f>IF(ISNUMBER(B74),MAX(0,$B$3-3*SQRT($B$3/B74)),NA())</f>
        <v/>
      </c>
      <c r="H74">
        <f>IF(ISNUMBER(B74),IF(OR(D74&gt;F74,D74&lt;G74),"OUT",""),"")</f>
        <v/>
      </c>
    </row>
    <row r="75">
      <c r="A75" t="n">
        <v>71</v>
      </c>
      <c r="B75" s="6" t="n"/>
      <c r="C75" s="6" t="n"/>
      <c r="D75">
        <f>IF(ISNUMBER(B75),C75/B75,NA())</f>
        <v/>
      </c>
      <c r="E75">
        <f>$B$3</f>
        <v/>
      </c>
      <c r="F75">
        <f>IF(ISNUMBER(B75),$B$3+3*SQRT($B$3/B75),NA())</f>
        <v/>
      </c>
      <c r="G75">
        <f>IF(ISNUMBER(B75),MAX(0,$B$3-3*SQRT($B$3/B75)),NA())</f>
        <v/>
      </c>
      <c r="H75">
        <f>IF(ISNUMBER(B75),IF(OR(D75&gt;F75,D75&lt;G75),"OUT",""),"")</f>
        <v/>
      </c>
    </row>
    <row r="76">
      <c r="A76" t="n">
        <v>72</v>
      </c>
      <c r="B76" s="6" t="n"/>
      <c r="C76" s="6" t="n"/>
      <c r="D76">
        <f>IF(ISNUMBER(B76),C76/B76,NA())</f>
        <v/>
      </c>
      <c r="E76">
        <f>$B$3</f>
        <v/>
      </c>
      <c r="F76">
        <f>IF(ISNUMBER(B76),$B$3+3*SQRT($B$3/B76),NA())</f>
        <v/>
      </c>
      <c r="G76">
        <f>IF(ISNUMBER(B76),MAX(0,$B$3-3*SQRT($B$3/B76)),NA())</f>
        <v/>
      </c>
      <c r="H76">
        <f>IF(ISNUMBER(B76),IF(OR(D76&gt;F76,D76&lt;G76),"OUT",""),"")</f>
        <v/>
      </c>
    </row>
    <row r="77">
      <c r="A77" t="n">
        <v>73</v>
      </c>
      <c r="B77" s="6" t="n"/>
      <c r="C77" s="6" t="n"/>
      <c r="D77">
        <f>IF(ISNUMBER(B77),C77/B77,NA())</f>
        <v/>
      </c>
      <c r="E77">
        <f>$B$3</f>
        <v/>
      </c>
      <c r="F77">
        <f>IF(ISNUMBER(B77),$B$3+3*SQRT($B$3/B77),NA())</f>
        <v/>
      </c>
      <c r="G77">
        <f>IF(ISNUMBER(B77),MAX(0,$B$3-3*SQRT($B$3/B77)),NA())</f>
        <v/>
      </c>
      <c r="H77">
        <f>IF(ISNUMBER(B77),IF(OR(D77&gt;F77,D77&lt;G77),"OUT",""),"")</f>
        <v/>
      </c>
    </row>
    <row r="78">
      <c r="A78" t="n">
        <v>74</v>
      </c>
      <c r="B78" s="6" t="n"/>
      <c r="C78" s="6" t="n"/>
      <c r="D78">
        <f>IF(ISNUMBER(B78),C78/B78,NA())</f>
        <v/>
      </c>
      <c r="E78">
        <f>$B$3</f>
        <v/>
      </c>
      <c r="F78">
        <f>IF(ISNUMBER(B78),$B$3+3*SQRT($B$3/B78),NA())</f>
        <v/>
      </c>
      <c r="G78">
        <f>IF(ISNUMBER(B78),MAX(0,$B$3-3*SQRT($B$3/B78)),NA())</f>
        <v/>
      </c>
      <c r="H78">
        <f>IF(ISNUMBER(B78),IF(OR(D78&gt;F78,D78&lt;G78),"OUT",""),"")</f>
        <v/>
      </c>
    </row>
    <row r="79">
      <c r="A79" t="n">
        <v>75</v>
      </c>
      <c r="B79" s="6" t="n"/>
      <c r="C79" s="6" t="n"/>
      <c r="D79">
        <f>IF(ISNUMBER(B79),C79/B79,NA())</f>
        <v/>
      </c>
      <c r="E79">
        <f>$B$3</f>
        <v/>
      </c>
      <c r="F79">
        <f>IF(ISNUMBER(B79),$B$3+3*SQRT($B$3/B79),NA())</f>
        <v/>
      </c>
      <c r="G79">
        <f>IF(ISNUMBER(B79),MAX(0,$B$3-3*SQRT($B$3/B79)),NA())</f>
        <v/>
      </c>
      <c r="H79">
        <f>IF(ISNUMBER(B79),IF(OR(D79&gt;F79,D79&lt;G79),"OUT",""),"")</f>
        <v/>
      </c>
    </row>
    <row r="80">
      <c r="A80" t="n">
        <v>76</v>
      </c>
      <c r="B80" s="6" t="n"/>
      <c r="C80" s="6" t="n"/>
      <c r="D80">
        <f>IF(ISNUMBER(B80),C80/B80,NA())</f>
        <v/>
      </c>
      <c r="E80">
        <f>$B$3</f>
        <v/>
      </c>
      <c r="F80">
        <f>IF(ISNUMBER(B80),$B$3+3*SQRT($B$3/B80),NA())</f>
        <v/>
      </c>
      <c r="G80">
        <f>IF(ISNUMBER(B80),MAX(0,$B$3-3*SQRT($B$3/B80)),NA())</f>
        <v/>
      </c>
      <c r="H80">
        <f>IF(ISNUMBER(B80),IF(OR(D80&gt;F80,D80&lt;G80),"OUT",""),"")</f>
        <v/>
      </c>
    </row>
    <row r="81">
      <c r="A81" t="n">
        <v>77</v>
      </c>
      <c r="B81" s="6" t="n"/>
      <c r="C81" s="6" t="n"/>
      <c r="D81">
        <f>IF(ISNUMBER(B81),C81/B81,NA())</f>
        <v/>
      </c>
      <c r="E81">
        <f>$B$3</f>
        <v/>
      </c>
      <c r="F81">
        <f>IF(ISNUMBER(B81),$B$3+3*SQRT($B$3/B81),NA())</f>
        <v/>
      </c>
      <c r="G81">
        <f>IF(ISNUMBER(B81),MAX(0,$B$3-3*SQRT($B$3/B81)),NA())</f>
        <v/>
      </c>
      <c r="H81">
        <f>IF(ISNUMBER(B81),IF(OR(D81&gt;F81,D81&lt;G81),"OUT",""),"")</f>
        <v/>
      </c>
    </row>
    <row r="82">
      <c r="A82" t="n">
        <v>78</v>
      </c>
      <c r="B82" s="6" t="n"/>
      <c r="C82" s="6" t="n"/>
      <c r="D82">
        <f>IF(ISNUMBER(B82),C82/B82,NA())</f>
        <v/>
      </c>
      <c r="E82">
        <f>$B$3</f>
        <v/>
      </c>
      <c r="F82">
        <f>IF(ISNUMBER(B82),$B$3+3*SQRT($B$3/B82),NA())</f>
        <v/>
      </c>
      <c r="G82">
        <f>IF(ISNUMBER(B82),MAX(0,$B$3-3*SQRT($B$3/B82)),NA())</f>
        <v/>
      </c>
      <c r="H82">
        <f>IF(ISNUMBER(B82),IF(OR(D82&gt;F82,D82&lt;G82),"OUT",""),"")</f>
        <v/>
      </c>
    </row>
    <row r="83">
      <c r="A83" t="n">
        <v>79</v>
      </c>
      <c r="B83" s="6" t="n"/>
      <c r="C83" s="6" t="n"/>
      <c r="D83">
        <f>IF(ISNUMBER(B83),C83/B83,NA())</f>
        <v/>
      </c>
      <c r="E83">
        <f>$B$3</f>
        <v/>
      </c>
      <c r="F83">
        <f>IF(ISNUMBER(B83),$B$3+3*SQRT($B$3/B83),NA())</f>
        <v/>
      </c>
      <c r="G83">
        <f>IF(ISNUMBER(B83),MAX(0,$B$3-3*SQRT($B$3/B83)),NA())</f>
        <v/>
      </c>
      <c r="H83">
        <f>IF(ISNUMBER(B83),IF(OR(D83&gt;F83,D83&lt;G83),"OUT",""),"")</f>
        <v/>
      </c>
    </row>
    <row r="84">
      <c r="A84" t="n">
        <v>80</v>
      </c>
      <c r="B84" s="6" t="n"/>
      <c r="C84" s="6" t="n"/>
      <c r="D84">
        <f>IF(ISNUMBER(B84),C84/B84,NA())</f>
        <v/>
      </c>
      <c r="E84">
        <f>$B$3</f>
        <v/>
      </c>
      <c r="F84">
        <f>IF(ISNUMBER(B84),$B$3+3*SQRT($B$3/B84),NA())</f>
        <v/>
      </c>
      <c r="G84">
        <f>IF(ISNUMBER(B84),MAX(0,$B$3-3*SQRT($B$3/B84)),NA())</f>
        <v/>
      </c>
      <c r="H84">
        <f>IF(ISNUMBER(B84),IF(OR(D84&gt;F84,D84&lt;G84),"OUT",""),"")</f>
        <v/>
      </c>
    </row>
    <row r="85">
      <c r="A85" t="n">
        <v>81</v>
      </c>
      <c r="B85" s="6" t="n"/>
      <c r="C85" s="6" t="n"/>
      <c r="D85">
        <f>IF(ISNUMBER(B85),C85/B85,NA())</f>
        <v/>
      </c>
      <c r="E85">
        <f>$B$3</f>
        <v/>
      </c>
      <c r="F85">
        <f>IF(ISNUMBER(B85),$B$3+3*SQRT($B$3/B85),NA())</f>
        <v/>
      </c>
      <c r="G85">
        <f>IF(ISNUMBER(B85),MAX(0,$B$3-3*SQRT($B$3/B85)),NA())</f>
        <v/>
      </c>
      <c r="H85">
        <f>IF(ISNUMBER(B85),IF(OR(D85&gt;F85,D85&lt;G85),"OUT",""),"")</f>
        <v/>
      </c>
    </row>
    <row r="86">
      <c r="A86" t="n">
        <v>82</v>
      </c>
      <c r="B86" s="6" t="n"/>
      <c r="C86" s="6" t="n"/>
      <c r="D86">
        <f>IF(ISNUMBER(B86),C86/B86,NA())</f>
        <v/>
      </c>
      <c r="E86">
        <f>$B$3</f>
        <v/>
      </c>
      <c r="F86">
        <f>IF(ISNUMBER(B86),$B$3+3*SQRT($B$3/B86),NA())</f>
        <v/>
      </c>
      <c r="G86">
        <f>IF(ISNUMBER(B86),MAX(0,$B$3-3*SQRT($B$3/B86)),NA())</f>
        <v/>
      </c>
      <c r="H86">
        <f>IF(ISNUMBER(B86),IF(OR(D86&gt;F86,D86&lt;G86),"OUT",""),"")</f>
        <v/>
      </c>
    </row>
    <row r="87">
      <c r="A87" t="n">
        <v>83</v>
      </c>
      <c r="B87" s="6" t="n"/>
      <c r="C87" s="6" t="n"/>
      <c r="D87">
        <f>IF(ISNUMBER(B87),C87/B87,NA())</f>
        <v/>
      </c>
      <c r="E87">
        <f>$B$3</f>
        <v/>
      </c>
      <c r="F87">
        <f>IF(ISNUMBER(B87),$B$3+3*SQRT($B$3/B87),NA())</f>
        <v/>
      </c>
      <c r="G87">
        <f>IF(ISNUMBER(B87),MAX(0,$B$3-3*SQRT($B$3/B87)),NA())</f>
        <v/>
      </c>
      <c r="H87">
        <f>IF(ISNUMBER(B87),IF(OR(D87&gt;F87,D87&lt;G87),"OUT",""),"")</f>
        <v/>
      </c>
    </row>
    <row r="88">
      <c r="A88" t="n">
        <v>84</v>
      </c>
      <c r="B88" s="6" t="n"/>
      <c r="C88" s="6" t="n"/>
      <c r="D88">
        <f>IF(ISNUMBER(B88),C88/B88,NA())</f>
        <v/>
      </c>
      <c r="E88">
        <f>$B$3</f>
        <v/>
      </c>
      <c r="F88">
        <f>IF(ISNUMBER(B88),$B$3+3*SQRT($B$3/B88),NA())</f>
        <v/>
      </c>
      <c r="G88">
        <f>IF(ISNUMBER(B88),MAX(0,$B$3-3*SQRT($B$3/B88)),NA())</f>
        <v/>
      </c>
      <c r="H88">
        <f>IF(ISNUMBER(B88),IF(OR(D88&gt;F88,D88&lt;G88),"OUT",""),"")</f>
        <v/>
      </c>
    </row>
    <row r="89">
      <c r="A89" t="n">
        <v>85</v>
      </c>
      <c r="B89" s="6" t="n"/>
      <c r="C89" s="6" t="n"/>
      <c r="D89">
        <f>IF(ISNUMBER(B89),C89/B89,NA())</f>
        <v/>
      </c>
      <c r="E89">
        <f>$B$3</f>
        <v/>
      </c>
      <c r="F89">
        <f>IF(ISNUMBER(B89),$B$3+3*SQRT($B$3/B89),NA())</f>
        <v/>
      </c>
      <c r="G89">
        <f>IF(ISNUMBER(B89),MAX(0,$B$3-3*SQRT($B$3/B89)),NA())</f>
        <v/>
      </c>
      <c r="H89">
        <f>IF(ISNUMBER(B89),IF(OR(D89&gt;F89,D89&lt;G89),"OUT",""),"")</f>
        <v/>
      </c>
    </row>
    <row r="90">
      <c r="A90" t="n">
        <v>86</v>
      </c>
      <c r="B90" s="6" t="n"/>
      <c r="C90" s="6" t="n"/>
      <c r="D90">
        <f>IF(ISNUMBER(B90),C90/B90,NA())</f>
        <v/>
      </c>
      <c r="E90">
        <f>$B$3</f>
        <v/>
      </c>
      <c r="F90">
        <f>IF(ISNUMBER(B90),$B$3+3*SQRT($B$3/B90),NA())</f>
        <v/>
      </c>
      <c r="G90">
        <f>IF(ISNUMBER(B90),MAX(0,$B$3-3*SQRT($B$3/B90)),NA())</f>
        <v/>
      </c>
      <c r="H90">
        <f>IF(ISNUMBER(B90),IF(OR(D90&gt;F90,D90&lt;G90),"OUT",""),"")</f>
        <v/>
      </c>
    </row>
    <row r="91">
      <c r="A91" t="n">
        <v>87</v>
      </c>
      <c r="B91" s="6" t="n"/>
      <c r="C91" s="6" t="n"/>
      <c r="D91">
        <f>IF(ISNUMBER(B91),C91/B91,NA())</f>
        <v/>
      </c>
      <c r="E91">
        <f>$B$3</f>
        <v/>
      </c>
      <c r="F91">
        <f>IF(ISNUMBER(B91),$B$3+3*SQRT($B$3/B91),NA())</f>
        <v/>
      </c>
      <c r="G91">
        <f>IF(ISNUMBER(B91),MAX(0,$B$3-3*SQRT($B$3/B91)),NA())</f>
        <v/>
      </c>
      <c r="H91">
        <f>IF(ISNUMBER(B91),IF(OR(D91&gt;F91,D91&lt;G91),"OUT",""),"")</f>
        <v/>
      </c>
    </row>
    <row r="92">
      <c r="A92" t="n">
        <v>88</v>
      </c>
      <c r="B92" s="6" t="n"/>
      <c r="C92" s="6" t="n"/>
      <c r="D92">
        <f>IF(ISNUMBER(B92),C92/B92,NA())</f>
        <v/>
      </c>
      <c r="E92">
        <f>$B$3</f>
        <v/>
      </c>
      <c r="F92">
        <f>IF(ISNUMBER(B92),$B$3+3*SQRT($B$3/B92),NA())</f>
        <v/>
      </c>
      <c r="G92">
        <f>IF(ISNUMBER(B92),MAX(0,$B$3-3*SQRT($B$3/B92)),NA())</f>
        <v/>
      </c>
      <c r="H92">
        <f>IF(ISNUMBER(B92),IF(OR(D92&gt;F92,D92&lt;G92),"OUT",""),"")</f>
        <v/>
      </c>
    </row>
    <row r="93">
      <c r="A93" t="n">
        <v>89</v>
      </c>
      <c r="B93" s="6" t="n"/>
      <c r="C93" s="6" t="n"/>
      <c r="D93">
        <f>IF(ISNUMBER(B93),C93/B93,NA())</f>
        <v/>
      </c>
      <c r="E93">
        <f>$B$3</f>
        <v/>
      </c>
      <c r="F93">
        <f>IF(ISNUMBER(B93),$B$3+3*SQRT($B$3/B93),NA())</f>
        <v/>
      </c>
      <c r="G93">
        <f>IF(ISNUMBER(B93),MAX(0,$B$3-3*SQRT($B$3/B93)),NA())</f>
        <v/>
      </c>
      <c r="H93">
        <f>IF(ISNUMBER(B93),IF(OR(D93&gt;F93,D93&lt;G93),"OUT",""),"")</f>
        <v/>
      </c>
    </row>
    <row r="94">
      <c r="A94" t="n">
        <v>90</v>
      </c>
      <c r="B94" s="6" t="n"/>
      <c r="C94" s="6" t="n"/>
      <c r="D94">
        <f>IF(ISNUMBER(B94),C94/B94,NA())</f>
        <v/>
      </c>
      <c r="E94">
        <f>$B$3</f>
        <v/>
      </c>
      <c r="F94">
        <f>IF(ISNUMBER(B94),$B$3+3*SQRT($B$3/B94),NA())</f>
        <v/>
      </c>
      <c r="G94">
        <f>IF(ISNUMBER(B94),MAX(0,$B$3-3*SQRT($B$3/B94)),NA())</f>
        <v/>
      </c>
      <c r="H94">
        <f>IF(ISNUMBER(B94),IF(OR(D94&gt;F94,D94&lt;G94),"OUT",""),"")</f>
        <v/>
      </c>
    </row>
    <row r="95">
      <c r="A95" t="n">
        <v>91</v>
      </c>
      <c r="B95" s="6" t="n"/>
      <c r="C95" s="6" t="n"/>
      <c r="D95">
        <f>IF(ISNUMBER(B95),C95/B95,NA())</f>
        <v/>
      </c>
      <c r="E95">
        <f>$B$3</f>
        <v/>
      </c>
      <c r="F95">
        <f>IF(ISNUMBER(B95),$B$3+3*SQRT($B$3/B95),NA())</f>
        <v/>
      </c>
      <c r="G95">
        <f>IF(ISNUMBER(B95),MAX(0,$B$3-3*SQRT($B$3/B95)),NA())</f>
        <v/>
      </c>
      <c r="H95">
        <f>IF(ISNUMBER(B95),IF(OR(D95&gt;F95,D95&lt;G95),"OUT",""),"")</f>
        <v/>
      </c>
    </row>
    <row r="96">
      <c r="A96" t="n">
        <v>92</v>
      </c>
      <c r="B96" s="6" t="n"/>
      <c r="C96" s="6" t="n"/>
      <c r="D96">
        <f>IF(ISNUMBER(B96),C96/B96,NA())</f>
        <v/>
      </c>
      <c r="E96">
        <f>$B$3</f>
        <v/>
      </c>
      <c r="F96">
        <f>IF(ISNUMBER(B96),$B$3+3*SQRT($B$3/B96),NA())</f>
        <v/>
      </c>
      <c r="G96">
        <f>IF(ISNUMBER(B96),MAX(0,$B$3-3*SQRT($B$3/B96)),NA())</f>
        <v/>
      </c>
      <c r="H96">
        <f>IF(ISNUMBER(B96),IF(OR(D96&gt;F96,D96&lt;G96),"OUT",""),"")</f>
        <v/>
      </c>
    </row>
    <row r="97">
      <c r="A97" t="n">
        <v>93</v>
      </c>
      <c r="B97" s="6" t="n"/>
      <c r="C97" s="6" t="n"/>
      <c r="D97">
        <f>IF(ISNUMBER(B97),C97/B97,NA())</f>
        <v/>
      </c>
      <c r="E97">
        <f>$B$3</f>
        <v/>
      </c>
      <c r="F97">
        <f>IF(ISNUMBER(B97),$B$3+3*SQRT($B$3/B97),NA())</f>
        <v/>
      </c>
      <c r="G97">
        <f>IF(ISNUMBER(B97),MAX(0,$B$3-3*SQRT($B$3/B97)),NA())</f>
        <v/>
      </c>
      <c r="H97">
        <f>IF(ISNUMBER(B97),IF(OR(D97&gt;F97,D97&lt;G97),"OUT",""),"")</f>
        <v/>
      </c>
    </row>
    <row r="98">
      <c r="A98" t="n">
        <v>94</v>
      </c>
      <c r="B98" s="6" t="n"/>
      <c r="C98" s="6" t="n"/>
      <c r="D98">
        <f>IF(ISNUMBER(B98),C98/B98,NA())</f>
        <v/>
      </c>
      <c r="E98">
        <f>$B$3</f>
        <v/>
      </c>
      <c r="F98">
        <f>IF(ISNUMBER(B98),$B$3+3*SQRT($B$3/B98),NA())</f>
        <v/>
      </c>
      <c r="G98">
        <f>IF(ISNUMBER(B98),MAX(0,$B$3-3*SQRT($B$3/B98)),NA())</f>
        <v/>
      </c>
      <c r="H98">
        <f>IF(ISNUMBER(B98),IF(OR(D98&gt;F98,D98&lt;G98),"OUT",""),"")</f>
        <v/>
      </c>
    </row>
    <row r="99">
      <c r="A99" t="n">
        <v>95</v>
      </c>
      <c r="B99" s="6" t="n"/>
      <c r="C99" s="6" t="n"/>
      <c r="D99">
        <f>IF(ISNUMBER(B99),C99/B99,NA())</f>
        <v/>
      </c>
      <c r="E99">
        <f>$B$3</f>
        <v/>
      </c>
      <c r="F99">
        <f>IF(ISNUMBER(B99),$B$3+3*SQRT($B$3/B99),NA())</f>
        <v/>
      </c>
      <c r="G99">
        <f>IF(ISNUMBER(B99),MAX(0,$B$3-3*SQRT($B$3/B99)),NA())</f>
        <v/>
      </c>
      <c r="H99">
        <f>IF(ISNUMBER(B99),IF(OR(D99&gt;F99,D99&lt;G99),"OUT",""),"")</f>
        <v/>
      </c>
    </row>
    <row r="100">
      <c r="A100" t="n">
        <v>96</v>
      </c>
      <c r="B100" s="6" t="n"/>
      <c r="C100" s="6" t="n"/>
      <c r="D100">
        <f>IF(ISNUMBER(B100),C100/B100,NA())</f>
        <v/>
      </c>
      <c r="E100">
        <f>$B$3</f>
        <v/>
      </c>
      <c r="F100">
        <f>IF(ISNUMBER(B100),$B$3+3*SQRT($B$3/B100),NA())</f>
        <v/>
      </c>
      <c r="G100">
        <f>IF(ISNUMBER(B100),MAX(0,$B$3-3*SQRT($B$3/B100)),NA())</f>
        <v/>
      </c>
      <c r="H100">
        <f>IF(ISNUMBER(B100),IF(OR(D100&gt;F100,D100&lt;G100),"OUT",""),"")</f>
        <v/>
      </c>
    </row>
    <row r="101">
      <c r="A101" t="n">
        <v>97</v>
      </c>
      <c r="B101" s="6" t="n"/>
      <c r="C101" s="6" t="n"/>
      <c r="D101">
        <f>IF(ISNUMBER(B101),C101/B101,NA())</f>
        <v/>
      </c>
      <c r="E101">
        <f>$B$3</f>
        <v/>
      </c>
      <c r="F101">
        <f>IF(ISNUMBER(B101),$B$3+3*SQRT($B$3/B101),NA())</f>
        <v/>
      </c>
      <c r="G101">
        <f>IF(ISNUMBER(B101),MAX(0,$B$3-3*SQRT($B$3/B101)),NA())</f>
        <v/>
      </c>
      <c r="H101">
        <f>IF(ISNUMBER(B101),IF(OR(D101&gt;F101,D101&lt;G101),"OUT",""),"")</f>
        <v/>
      </c>
    </row>
    <row r="102">
      <c r="A102" t="n">
        <v>98</v>
      </c>
      <c r="B102" s="6" t="n"/>
      <c r="C102" s="6" t="n"/>
      <c r="D102">
        <f>IF(ISNUMBER(B102),C102/B102,NA())</f>
        <v/>
      </c>
      <c r="E102">
        <f>$B$3</f>
        <v/>
      </c>
      <c r="F102">
        <f>IF(ISNUMBER(B102),$B$3+3*SQRT($B$3/B102),NA())</f>
        <v/>
      </c>
      <c r="G102">
        <f>IF(ISNUMBER(B102),MAX(0,$B$3-3*SQRT($B$3/B102)),NA())</f>
        <v/>
      </c>
      <c r="H102">
        <f>IF(ISNUMBER(B102),IF(OR(D102&gt;F102,D102&lt;G102),"OUT",""),"")</f>
        <v/>
      </c>
    </row>
    <row r="103">
      <c r="A103" t="n">
        <v>99</v>
      </c>
      <c r="B103" s="6" t="n"/>
      <c r="C103" s="6" t="n"/>
      <c r="D103">
        <f>IF(ISNUMBER(B103),C103/B103,NA())</f>
        <v/>
      </c>
      <c r="E103">
        <f>$B$3</f>
        <v/>
      </c>
      <c r="F103">
        <f>IF(ISNUMBER(B103),$B$3+3*SQRT($B$3/B103),NA())</f>
        <v/>
      </c>
      <c r="G103">
        <f>IF(ISNUMBER(B103),MAX(0,$B$3-3*SQRT($B$3/B103)),NA())</f>
        <v/>
      </c>
      <c r="H103">
        <f>IF(ISNUMBER(B103),IF(OR(D103&gt;F103,D103&lt;G103),"OUT",""),"")</f>
        <v/>
      </c>
    </row>
    <row r="104">
      <c r="A104" t="n">
        <v>100</v>
      </c>
      <c r="B104" s="6" t="n"/>
      <c r="C104" s="6" t="n"/>
      <c r="D104">
        <f>IF(ISNUMBER(B104),C104/B104,NA())</f>
        <v/>
      </c>
      <c r="E104">
        <f>$B$3</f>
        <v/>
      </c>
      <c r="F104">
        <f>IF(ISNUMBER(B104),$B$3+3*SQRT($B$3/B104),NA())</f>
        <v/>
      </c>
      <c r="G104">
        <f>IF(ISNUMBER(B104),MAX(0,$B$3-3*SQRT($B$3/B104)),NA())</f>
        <v/>
      </c>
      <c r="H104">
        <f>IF(ISNUMBER(B104),IF(OR(D104&gt;F104,D104&lt;G104),"OUT",""),"")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Chart and np Chart (constant sample size)</t>
        </is>
      </c>
    </row>
    <row r="2">
      <c r="A2" s="2" t="inlineStr">
        <is>
          <t>c: defects per sample. np: defective units per sample, with the same sample size every time.</t>
        </is>
      </c>
    </row>
    <row r="3">
      <c r="A3" s="3" t="inlineStr">
        <is>
          <t>np sample size</t>
        </is>
      </c>
      <c r="B3" s="7" t="n">
        <v>200</v>
      </c>
    </row>
    <row r="5">
      <c r="A5" s="5" t="inlineStr">
        <is>
          <t>Sample</t>
        </is>
      </c>
      <c r="B5" s="5" t="inlineStr">
        <is>
          <t>Defects (c)</t>
        </is>
      </c>
      <c r="C5" s="5" t="inlineStr">
        <is>
          <t>c-bar</t>
        </is>
      </c>
      <c r="D5" s="5" t="inlineStr">
        <is>
          <t>UCL c</t>
        </is>
      </c>
      <c r="E5" s="5" t="inlineStr">
        <is>
          <t>LCL c</t>
        </is>
      </c>
      <c r="F5" s="5" t="inlineStr">
        <is>
          <t>Defective (np)</t>
        </is>
      </c>
      <c r="G5" s="5" t="inlineStr">
        <is>
          <t>np-bar</t>
        </is>
      </c>
      <c r="H5" s="5" t="inlineStr">
        <is>
          <t>UCL np</t>
        </is>
      </c>
      <c r="I5" s="5" t="inlineStr">
        <is>
          <t>LCL np</t>
        </is>
      </c>
    </row>
    <row r="6">
      <c r="A6" t="n">
        <v>1</v>
      </c>
      <c r="B6" s="6" t="n">
        <v>46</v>
      </c>
      <c r="C6">
        <f>AVERAGE($B$6:$B$105)</f>
        <v/>
      </c>
      <c r="D6">
        <f>C6+3*SQRT(C6)</f>
        <v/>
      </c>
      <c r="E6">
        <f>MAX(0,C6-3*SQRT(C6))</f>
        <v/>
      </c>
      <c r="F6" s="6" t="n">
        <v>9</v>
      </c>
      <c r="G6">
        <f>AVERAGE($F$6:$F$105)</f>
        <v/>
      </c>
      <c r="H6">
        <f>G6+3*SQRT(G6*(1-G6/$B$3))</f>
        <v/>
      </c>
      <c r="I6">
        <f>MAX(0,G6-3*SQRT(G6*(1-G6/$B$3)))</f>
        <v/>
      </c>
    </row>
    <row r="7">
      <c r="A7" t="n">
        <v>2</v>
      </c>
      <c r="B7" s="6" t="n">
        <v>28</v>
      </c>
      <c r="C7">
        <f>AVERAGE($B$6:$B$105)</f>
        <v/>
      </c>
      <c r="D7">
        <f>C7+3*SQRT(C7)</f>
        <v/>
      </c>
      <c r="E7">
        <f>MAX(0,C7-3*SQRT(C7))</f>
        <v/>
      </c>
      <c r="F7" s="6" t="n">
        <v>6</v>
      </c>
      <c r="G7">
        <f>AVERAGE($F$6:$F$105)</f>
        <v/>
      </c>
      <c r="H7">
        <f>G7+3*SQRT(G7*(1-G7/$B$3))</f>
        <v/>
      </c>
      <c r="I7">
        <f>MAX(0,G7-3*SQRT(G7*(1-G7/$B$3)))</f>
        <v/>
      </c>
    </row>
    <row r="8">
      <c r="A8" t="n">
        <v>3</v>
      </c>
      <c r="B8" s="6" t="n">
        <v>25</v>
      </c>
      <c r="C8">
        <f>AVERAGE($B$6:$B$105)</f>
        <v/>
      </c>
      <c r="D8">
        <f>C8+3*SQRT(C8)</f>
        <v/>
      </c>
      <c r="E8">
        <f>MAX(0,C8-3*SQRT(C8))</f>
        <v/>
      </c>
      <c r="F8" s="6" t="n">
        <v>13</v>
      </c>
      <c r="G8">
        <f>AVERAGE($F$6:$F$105)</f>
        <v/>
      </c>
      <c r="H8">
        <f>G8+3*SQRT(G8*(1-G8/$B$3))</f>
        <v/>
      </c>
      <c r="I8">
        <f>MAX(0,G8-3*SQRT(G8*(1-G8/$B$3)))</f>
        <v/>
      </c>
    </row>
    <row r="9">
      <c r="A9" t="n">
        <v>4</v>
      </c>
      <c r="B9" s="6" t="n">
        <v>19</v>
      </c>
      <c r="C9">
        <f>AVERAGE($B$6:$B$105)</f>
        <v/>
      </c>
      <c r="D9">
        <f>C9+3*SQRT(C9)</f>
        <v/>
      </c>
      <c r="E9">
        <f>MAX(0,C9-3*SQRT(C9))</f>
        <v/>
      </c>
      <c r="F9" s="6" t="n">
        <v>9</v>
      </c>
      <c r="G9">
        <f>AVERAGE($F$6:$F$105)</f>
        <v/>
      </c>
      <c r="H9">
        <f>G9+3*SQRT(G9*(1-G9/$B$3))</f>
        <v/>
      </c>
      <c r="I9">
        <f>MAX(0,G9-3*SQRT(G9*(1-G9/$B$3)))</f>
        <v/>
      </c>
    </row>
    <row r="10">
      <c r="A10" t="n">
        <v>5</v>
      </c>
      <c r="B10" s="6" t="n">
        <v>39</v>
      </c>
      <c r="C10">
        <f>AVERAGE($B$6:$B$105)</f>
        <v/>
      </c>
      <c r="D10">
        <f>C10+3*SQRT(C10)</f>
        <v/>
      </c>
      <c r="E10">
        <f>MAX(0,C10-3*SQRT(C10))</f>
        <v/>
      </c>
      <c r="F10" s="6" t="n">
        <v>6</v>
      </c>
      <c r="G10">
        <f>AVERAGE($F$6:$F$105)</f>
        <v/>
      </c>
      <c r="H10">
        <f>G10+3*SQRT(G10*(1-G10/$B$3))</f>
        <v/>
      </c>
      <c r="I10">
        <f>MAX(0,G10-3*SQRT(G10*(1-G10/$B$3)))</f>
        <v/>
      </c>
    </row>
    <row r="11">
      <c r="A11" t="n">
        <v>6</v>
      </c>
      <c r="B11" s="6" t="n">
        <v>39</v>
      </c>
      <c r="C11">
        <f>AVERAGE($B$6:$B$105)</f>
        <v/>
      </c>
      <c r="D11">
        <f>C11+3*SQRT(C11)</f>
        <v/>
      </c>
      <c r="E11">
        <f>MAX(0,C11-3*SQRT(C11))</f>
        <v/>
      </c>
      <c r="F11" s="6" t="n">
        <v>9</v>
      </c>
      <c r="G11">
        <f>AVERAGE($F$6:$F$105)</f>
        <v/>
      </c>
      <c r="H11">
        <f>G11+3*SQRT(G11*(1-G11/$B$3))</f>
        <v/>
      </c>
      <c r="I11">
        <f>MAX(0,G11-3*SQRT(G11*(1-G11/$B$3)))</f>
        <v/>
      </c>
    </row>
    <row r="12">
      <c r="A12" t="n">
        <v>7</v>
      </c>
      <c r="B12" s="6" t="n">
        <v>36</v>
      </c>
      <c r="C12">
        <f>AVERAGE($B$6:$B$105)</f>
        <v/>
      </c>
      <c r="D12">
        <f>C12+3*SQRT(C12)</f>
        <v/>
      </c>
      <c r="E12">
        <f>MAX(0,C12-3*SQRT(C12))</f>
        <v/>
      </c>
      <c r="F12" s="6" t="n">
        <v>4</v>
      </c>
      <c r="G12">
        <f>AVERAGE($F$6:$F$105)</f>
        <v/>
      </c>
      <c r="H12">
        <f>G12+3*SQRT(G12*(1-G12/$B$3))</f>
        <v/>
      </c>
      <c r="I12">
        <f>MAX(0,G12-3*SQRT(G12*(1-G12/$B$3)))</f>
        <v/>
      </c>
    </row>
    <row r="13">
      <c r="A13" t="n">
        <v>8</v>
      </c>
      <c r="B13" s="6" t="n">
        <v>27</v>
      </c>
      <c r="C13">
        <f>AVERAGE($B$6:$B$105)</f>
        <v/>
      </c>
      <c r="D13">
        <f>C13+3*SQRT(C13)</f>
        <v/>
      </c>
      <c r="E13">
        <f>MAX(0,C13-3*SQRT(C13))</f>
        <v/>
      </c>
      <c r="F13" s="6" t="n">
        <v>10</v>
      </c>
      <c r="G13">
        <f>AVERAGE($F$6:$F$105)</f>
        <v/>
      </c>
      <c r="H13">
        <f>G13+3*SQRT(G13*(1-G13/$B$3))</f>
        <v/>
      </c>
      <c r="I13">
        <f>MAX(0,G13-3*SQRT(G13*(1-G13/$B$3)))</f>
        <v/>
      </c>
    </row>
    <row r="14">
      <c r="A14" t="n">
        <v>9</v>
      </c>
      <c r="B14" s="6" t="n">
        <v>26</v>
      </c>
      <c r="C14">
        <f>AVERAGE($B$6:$B$105)</f>
        <v/>
      </c>
      <c r="D14">
        <f>C14+3*SQRT(C14)</f>
        <v/>
      </c>
      <c r="E14">
        <f>MAX(0,C14-3*SQRT(C14))</f>
        <v/>
      </c>
      <c r="F14" s="6" t="n">
        <v>6</v>
      </c>
      <c r="G14">
        <f>AVERAGE($F$6:$F$105)</f>
        <v/>
      </c>
      <c r="H14">
        <f>G14+3*SQRT(G14*(1-G14/$B$3))</f>
        <v/>
      </c>
      <c r="I14">
        <f>MAX(0,G14-3*SQRT(G14*(1-G14/$B$3)))</f>
        <v/>
      </c>
    </row>
    <row r="15">
      <c r="A15" t="n">
        <v>10</v>
      </c>
      <c r="B15" s="6" t="n">
        <v>32</v>
      </c>
      <c r="C15">
        <f>AVERAGE($B$6:$B$105)</f>
        <v/>
      </c>
      <c r="D15">
        <f>C15+3*SQRT(C15)</f>
        <v/>
      </c>
      <c r="E15">
        <f>MAX(0,C15-3*SQRT(C15))</f>
        <v/>
      </c>
      <c r="F15" s="6" t="n">
        <v>3</v>
      </c>
      <c r="G15">
        <f>AVERAGE($F$6:$F$105)</f>
        <v/>
      </c>
      <c r="H15">
        <f>G15+3*SQRT(G15*(1-G15/$B$3))</f>
        <v/>
      </c>
      <c r="I15">
        <f>MAX(0,G15-3*SQRT(G15*(1-G15/$B$3)))</f>
        <v/>
      </c>
    </row>
    <row r="16">
      <c r="A16" t="n">
        <v>11</v>
      </c>
      <c r="B16" s="6" t="n">
        <v>25</v>
      </c>
      <c r="C16">
        <f>AVERAGE($B$6:$B$105)</f>
        <v/>
      </c>
      <c r="D16">
        <f>C16+3*SQRT(C16)</f>
        <v/>
      </c>
      <c r="E16">
        <f>MAX(0,C16-3*SQRT(C16))</f>
        <v/>
      </c>
      <c r="F16" s="6" t="n">
        <v>6</v>
      </c>
      <c r="G16">
        <f>AVERAGE($F$6:$F$105)</f>
        <v/>
      </c>
      <c r="H16">
        <f>G16+3*SQRT(G16*(1-G16/$B$3))</f>
        <v/>
      </c>
      <c r="I16">
        <f>MAX(0,G16-3*SQRT(G16*(1-G16/$B$3)))</f>
        <v/>
      </c>
    </row>
    <row r="17">
      <c r="A17" t="n">
        <v>12</v>
      </c>
      <c r="B17" s="6" t="n">
        <v>18</v>
      </c>
      <c r="C17">
        <f>AVERAGE($B$6:$B$105)</f>
        <v/>
      </c>
      <c r="D17">
        <f>C17+3*SQRT(C17)</f>
        <v/>
      </c>
      <c r="E17">
        <f>MAX(0,C17-3*SQRT(C17))</f>
        <v/>
      </c>
      <c r="F17" s="6" t="n">
        <v>10</v>
      </c>
      <c r="G17">
        <f>AVERAGE($F$6:$F$105)</f>
        <v/>
      </c>
      <c r="H17">
        <f>G17+3*SQRT(G17*(1-G17/$B$3))</f>
        <v/>
      </c>
      <c r="I17">
        <f>MAX(0,G17-3*SQRT(G17*(1-G17/$B$3)))</f>
        <v/>
      </c>
    </row>
    <row r="18">
      <c r="A18" t="n">
        <v>13</v>
      </c>
      <c r="B18" s="6" t="n">
        <v>26</v>
      </c>
      <c r="C18">
        <f>AVERAGE($B$6:$B$105)</f>
        <v/>
      </c>
      <c r="D18">
        <f>C18+3*SQRT(C18)</f>
        <v/>
      </c>
      <c r="E18">
        <f>MAX(0,C18-3*SQRT(C18))</f>
        <v/>
      </c>
      <c r="F18" s="6" t="n">
        <v>9</v>
      </c>
      <c r="G18">
        <f>AVERAGE($F$6:$F$105)</f>
        <v/>
      </c>
      <c r="H18">
        <f>G18+3*SQRT(G18*(1-G18/$B$3))</f>
        <v/>
      </c>
      <c r="I18">
        <f>MAX(0,G18-3*SQRT(G18*(1-G18/$B$3)))</f>
        <v/>
      </c>
    </row>
    <row r="19">
      <c r="A19" t="n">
        <v>14</v>
      </c>
      <c r="B19" s="6" t="n">
        <v>42</v>
      </c>
      <c r="C19">
        <f>AVERAGE($B$6:$B$105)</f>
        <v/>
      </c>
      <c r="D19">
        <f>C19+3*SQRT(C19)</f>
        <v/>
      </c>
      <c r="E19">
        <f>MAX(0,C19-3*SQRT(C19))</f>
        <v/>
      </c>
      <c r="F19" s="6" t="n">
        <v>10</v>
      </c>
      <c r="G19">
        <f>AVERAGE($F$6:$F$105)</f>
        <v/>
      </c>
      <c r="H19">
        <f>G19+3*SQRT(G19*(1-G19/$B$3))</f>
        <v/>
      </c>
      <c r="I19">
        <f>MAX(0,G19-3*SQRT(G19*(1-G19/$B$3)))</f>
        <v/>
      </c>
    </row>
    <row r="20">
      <c r="A20" t="n">
        <v>15</v>
      </c>
      <c r="B20" s="6" t="n">
        <v>27</v>
      </c>
      <c r="C20">
        <f>AVERAGE($B$6:$B$105)</f>
        <v/>
      </c>
      <c r="D20">
        <f>C20+3*SQRT(C20)</f>
        <v/>
      </c>
      <c r="E20">
        <f>MAX(0,C20-3*SQRT(C20))</f>
        <v/>
      </c>
      <c r="F20" s="6" t="n">
        <v>7</v>
      </c>
      <c r="G20">
        <f>AVERAGE($F$6:$F$105)</f>
        <v/>
      </c>
      <c r="H20">
        <f>G20+3*SQRT(G20*(1-G20/$B$3))</f>
        <v/>
      </c>
      <c r="I20">
        <f>MAX(0,G20-3*SQRT(G20*(1-G20/$B$3)))</f>
        <v/>
      </c>
    </row>
    <row r="21">
      <c r="A21" t="n">
        <v>16</v>
      </c>
      <c r="B21" s="6" t="n">
        <v>40</v>
      </c>
      <c r="C21">
        <f>AVERAGE($B$6:$B$105)</f>
        <v/>
      </c>
      <c r="D21">
        <f>C21+3*SQRT(C21)</f>
        <v/>
      </c>
      <c r="E21">
        <f>MAX(0,C21-3*SQRT(C21))</f>
        <v/>
      </c>
      <c r="F21" s="6" t="n">
        <v>14</v>
      </c>
      <c r="G21">
        <f>AVERAGE($F$6:$F$105)</f>
        <v/>
      </c>
      <c r="H21">
        <f>G21+3*SQRT(G21*(1-G21/$B$3))</f>
        <v/>
      </c>
      <c r="I21">
        <f>MAX(0,G21-3*SQRT(G21*(1-G21/$B$3)))</f>
        <v/>
      </c>
    </row>
    <row r="22">
      <c r="A22" t="n">
        <v>17</v>
      </c>
      <c r="B22" s="6" t="n">
        <v>33</v>
      </c>
      <c r="C22">
        <f>AVERAGE($B$6:$B$105)</f>
        <v/>
      </c>
      <c r="D22">
        <f>C22+3*SQRT(C22)</f>
        <v/>
      </c>
      <c r="E22">
        <f>MAX(0,C22-3*SQRT(C22))</f>
        <v/>
      </c>
      <c r="F22" s="6" t="n">
        <v>15</v>
      </c>
      <c r="G22">
        <f>AVERAGE($F$6:$F$105)</f>
        <v/>
      </c>
      <c r="H22">
        <f>G22+3*SQRT(G22*(1-G22/$B$3))</f>
        <v/>
      </c>
      <c r="I22">
        <f>MAX(0,G22-3*SQRT(G22*(1-G22/$B$3)))</f>
        <v/>
      </c>
    </row>
    <row r="23">
      <c r="A23" t="n">
        <v>18</v>
      </c>
      <c r="B23" s="6" t="n">
        <v>25</v>
      </c>
      <c r="C23">
        <f>AVERAGE($B$6:$B$105)</f>
        <v/>
      </c>
      <c r="D23">
        <f>C23+3*SQRT(C23)</f>
        <v/>
      </c>
      <c r="E23">
        <f>MAX(0,C23-3*SQRT(C23))</f>
        <v/>
      </c>
      <c r="F23" s="6" t="n">
        <v>18</v>
      </c>
      <c r="G23">
        <f>AVERAGE($F$6:$F$105)</f>
        <v/>
      </c>
      <c r="H23">
        <f>G23+3*SQRT(G23*(1-G23/$B$3))</f>
        <v/>
      </c>
      <c r="I23">
        <f>MAX(0,G23-3*SQRT(G23*(1-G23/$B$3)))</f>
        <v/>
      </c>
    </row>
    <row r="24">
      <c r="A24" t="n">
        <v>19</v>
      </c>
      <c r="B24" s="6" t="n">
        <v>28</v>
      </c>
      <c r="C24">
        <f>AVERAGE($B$6:$B$105)</f>
        <v/>
      </c>
      <c r="D24">
        <f>C24+3*SQRT(C24)</f>
        <v/>
      </c>
      <c r="E24">
        <f>MAX(0,C24-3*SQRT(C24))</f>
        <v/>
      </c>
      <c r="F24" s="6" t="n">
        <v>8</v>
      </c>
      <c r="G24">
        <f>AVERAGE($F$6:$F$105)</f>
        <v/>
      </c>
      <c r="H24">
        <f>G24+3*SQRT(G24*(1-G24/$B$3))</f>
        <v/>
      </c>
      <c r="I24">
        <f>MAX(0,G24-3*SQRT(G24*(1-G24/$B$3)))</f>
        <v/>
      </c>
    </row>
    <row r="25">
      <c r="A25" t="n">
        <v>20</v>
      </c>
      <c r="B25" s="6" t="n">
        <v>39</v>
      </c>
      <c r="C25">
        <f>AVERAGE($B$6:$B$105)</f>
        <v/>
      </c>
      <c r="D25">
        <f>C25+3*SQRT(C25)</f>
        <v/>
      </c>
      <c r="E25">
        <f>MAX(0,C25-3*SQRT(C25))</f>
        <v/>
      </c>
      <c r="F25" s="6" t="n">
        <v>14</v>
      </c>
      <c r="G25">
        <f>AVERAGE($F$6:$F$105)</f>
        <v/>
      </c>
      <c r="H25">
        <f>G25+3*SQRT(G25*(1-G25/$B$3))</f>
        <v/>
      </c>
      <c r="I25">
        <f>MAX(0,G25-3*SQRT(G25*(1-G25/$B$3)))</f>
        <v/>
      </c>
    </row>
    <row r="26">
      <c r="A26" t="n">
        <v>21</v>
      </c>
      <c r="B26" s="6" t="n">
        <v>33</v>
      </c>
      <c r="C26">
        <f>AVERAGE($B$6:$B$105)</f>
        <v/>
      </c>
      <c r="D26">
        <f>C26+3*SQRT(C26)</f>
        <v/>
      </c>
      <c r="E26">
        <f>MAX(0,C26-3*SQRT(C26))</f>
        <v/>
      </c>
      <c r="F26" s="6" t="n">
        <v>8</v>
      </c>
      <c r="G26">
        <f>AVERAGE($F$6:$F$105)</f>
        <v/>
      </c>
      <c r="H26">
        <f>G26+3*SQRT(G26*(1-G26/$B$3))</f>
        <v/>
      </c>
      <c r="I26">
        <f>MAX(0,G26-3*SQRT(G26*(1-G26/$B$3)))</f>
        <v/>
      </c>
    </row>
    <row r="27">
      <c r="A27" t="n">
        <v>22</v>
      </c>
      <c r="B27" s="6" t="n">
        <v>26</v>
      </c>
      <c r="C27">
        <f>AVERAGE($B$6:$B$105)</f>
        <v/>
      </c>
      <c r="D27">
        <f>C27+3*SQRT(C27)</f>
        <v/>
      </c>
      <c r="E27">
        <f>MAX(0,C27-3*SQRT(C27))</f>
        <v/>
      </c>
      <c r="F27" s="6" t="n">
        <v>12</v>
      </c>
      <c r="G27">
        <f>AVERAGE($F$6:$F$105)</f>
        <v/>
      </c>
      <c r="H27">
        <f>G27+3*SQRT(G27*(1-G27/$B$3))</f>
        <v/>
      </c>
      <c r="I27">
        <f>MAX(0,G27-3*SQRT(G27*(1-G27/$B$3)))</f>
        <v/>
      </c>
    </row>
    <row r="28">
      <c r="A28" t="n">
        <v>23</v>
      </c>
      <c r="B28" s="6" t="n">
        <v>21</v>
      </c>
      <c r="C28">
        <f>AVERAGE($B$6:$B$105)</f>
        <v/>
      </c>
      <c r="D28">
        <f>C28+3*SQRT(C28)</f>
        <v/>
      </c>
      <c r="E28">
        <f>MAX(0,C28-3*SQRT(C28))</f>
        <v/>
      </c>
      <c r="F28" s="6" t="n">
        <v>8</v>
      </c>
      <c r="G28">
        <f>AVERAGE($F$6:$F$105)</f>
        <v/>
      </c>
      <c r="H28">
        <f>G28+3*SQRT(G28*(1-G28/$B$3))</f>
        <v/>
      </c>
      <c r="I28">
        <f>MAX(0,G28-3*SQRT(G28*(1-G28/$B$3)))</f>
        <v/>
      </c>
    </row>
    <row r="29">
      <c r="A29" t="n">
        <v>24</v>
      </c>
      <c r="B29" s="6" t="n">
        <v>30</v>
      </c>
      <c r="C29">
        <f>AVERAGE($B$6:$B$105)</f>
        <v/>
      </c>
      <c r="D29">
        <f>C29+3*SQRT(C29)</f>
        <v/>
      </c>
      <c r="E29">
        <f>MAX(0,C29-3*SQRT(C29))</f>
        <v/>
      </c>
      <c r="F29" s="6" t="n">
        <v>7</v>
      </c>
      <c r="G29">
        <f>AVERAGE($F$6:$F$105)</f>
        <v/>
      </c>
      <c r="H29">
        <f>G29+3*SQRT(G29*(1-G29/$B$3))</f>
        <v/>
      </c>
      <c r="I29">
        <f>MAX(0,G29-3*SQRT(G29*(1-G29/$B$3)))</f>
        <v/>
      </c>
    </row>
    <row r="30">
      <c r="A30" t="n">
        <v>25</v>
      </c>
      <c r="B30" s="6" t="n">
        <v>39</v>
      </c>
      <c r="C30">
        <f>AVERAGE($B$6:$B$105)</f>
        <v/>
      </c>
      <c r="D30">
        <f>C30+3*SQRT(C30)</f>
        <v/>
      </c>
      <c r="E30">
        <f>MAX(0,C30-3*SQRT(C30))</f>
        <v/>
      </c>
      <c r="F30" s="6" t="n">
        <v>13</v>
      </c>
      <c r="G30">
        <f>AVERAGE($F$6:$F$105)</f>
        <v/>
      </c>
      <c r="H30">
        <f>G30+3*SQRT(G30*(1-G30/$B$3))</f>
        <v/>
      </c>
      <c r="I30">
        <f>MAX(0,G30-3*SQRT(G30*(1-G30/$B$3)))</f>
        <v/>
      </c>
    </row>
    <row r="31">
      <c r="A31" t="n">
        <v>26</v>
      </c>
      <c r="B31" s="6" t="n"/>
      <c r="C31">
        <f>AVERAGE($B$6:$B$105)</f>
        <v/>
      </c>
      <c r="D31">
        <f>C31+3*SQRT(C31)</f>
        <v/>
      </c>
      <c r="E31">
        <f>MAX(0,C31-3*SQRT(C31))</f>
        <v/>
      </c>
      <c r="F31" s="6" t="n"/>
      <c r="G31">
        <f>AVERAGE($F$6:$F$105)</f>
        <v/>
      </c>
      <c r="H31">
        <f>G31+3*SQRT(G31*(1-G31/$B$3))</f>
        <v/>
      </c>
      <c r="I31">
        <f>MAX(0,G31-3*SQRT(G31*(1-G31/$B$3)))</f>
        <v/>
      </c>
    </row>
    <row r="32">
      <c r="A32" t="n">
        <v>27</v>
      </c>
      <c r="B32" s="6" t="n"/>
      <c r="C32">
        <f>AVERAGE($B$6:$B$105)</f>
        <v/>
      </c>
      <c r="D32">
        <f>C32+3*SQRT(C32)</f>
        <v/>
      </c>
      <c r="E32">
        <f>MAX(0,C32-3*SQRT(C32))</f>
        <v/>
      </c>
      <c r="F32" s="6" t="n"/>
      <c r="G32">
        <f>AVERAGE($F$6:$F$105)</f>
        <v/>
      </c>
      <c r="H32">
        <f>G32+3*SQRT(G32*(1-G32/$B$3))</f>
        <v/>
      </c>
      <c r="I32">
        <f>MAX(0,G32-3*SQRT(G32*(1-G32/$B$3)))</f>
        <v/>
      </c>
    </row>
    <row r="33">
      <c r="A33" t="n">
        <v>28</v>
      </c>
      <c r="B33" s="6" t="n"/>
      <c r="C33">
        <f>AVERAGE($B$6:$B$105)</f>
        <v/>
      </c>
      <c r="D33">
        <f>C33+3*SQRT(C33)</f>
        <v/>
      </c>
      <c r="E33">
        <f>MAX(0,C33-3*SQRT(C33))</f>
        <v/>
      </c>
      <c r="F33" s="6" t="n"/>
      <c r="G33">
        <f>AVERAGE($F$6:$F$105)</f>
        <v/>
      </c>
      <c r="H33">
        <f>G33+3*SQRT(G33*(1-G33/$B$3))</f>
        <v/>
      </c>
      <c r="I33">
        <f>MAX(0,G33-3*SQRT(G33*(1-G33/$B$3)))</f>
        <v/>
      </c>
    </row>
    <row r="34">
      <c r="A34" t="n">
        <v>29</v>
      </c>
      <c r="B34" s="6" t="n"/>
      <c r="C34">
        <f>AVERAGE($B$6:$B$105)</f>
        <v/>
      </c>
      <c r="D34">
        <f>C34+3*SQRT(C34)</f>
        <v/>
      </c>
      <c r="E34">
        <f>MAX(0,C34-3*SQRT(C34))</f>
        <v/>
      </c>
      <c r="F34" s="6" t="n"/>
      <c r="G34">
        <f>AVERAGE($F$6:$F$105)</f>
        <v/>
      </c>
      <c r="H34">
        <f>G34+3*SQRT(G34*(1-G34/$B$3))</f>
        <v/>
      </c>
      <c r="I34">
        <f>MAX(0,G34-3*SQRT(G34*(1-G34/$B$3)))</f>
        <v/>
      </c>
    </row>
    <row r="35">
      <c r="A35" t="n">
        <v>30</v>
      </c>
      <c r="B35" s="6" t="n"/>
      <c r="C35">
        <f>AVERAGE($B$6:$B$105)</f>
        <v/>
      </c>
      <c r="D35">
        <f>C35+3*SQRT(C35)</f>
        <v/>
      </c>
      <c r="E35">
        <f>MAX(0,C35-3*SQRT(C35))</f>
        <v/>
      </c>
      <c r="F35" s="6" t="n"/>
      <c r="G35">
        <f>AVERAGE($F$6:$F$105)</f>
        <v/>
      </c>
      <c r="H35">
        <f>G35+3*SQRT(G35*(1-G35/$B$3))</f>
        <v/>
      </c>
      <c r="I35">
        <f>MAX(0,G35-3*SQRT(G35*(1-G35/$B$3)))</f>
        <v/>
      </c>
    </row>
    <row r="36">
      <c r="A36" t="n">
        <v>31</v>
      </c>
      <c r="B36" s="6" t="n"/>
      <c r="C36">
        <f>AVERAGE($B$6:$B$105)</f>
        <v/>
      </c>
      <c r="D36">
        <f>C36+3*SQRT(C36)</f>
        <v/>
      </c>
      <c r="E36">
        <f>MAX(0,C36-3*SQRT(C36))</f>
        <v/>
      </c>
      <c r="F36" s="6" t="n"/>
      <c r="G36">
        <f>AVERAGE($F$6:$F$105)</f>
        <v/>
      </c>
      <c r="H36">
        <f>G36+3*SQRT(G36*(1-G36/$B$3))</f>
        <v/>
      </c>
      <c r="I36">
        <f>MAX(0,G36-3*SQRT(G36*(1-G36/$B$3)))</f>
        <v/>
      </c>
    </row>
    <row r="37">
      <c r="A37" t="n">
        <v>32</v>
      </c>
      <c r="B37" s="6" t="n"/>
      <c r="C37">
        <f>AVERAGE($B$6:$B$105)</f>
        <v/>
      </c>
      <c r="D37">
        <f>C37+3*SQRT(C37)</f>
        <v/>
      </c>
      <c r="E37">
        <f>MAX(0,C37-3*SQRT(C37))</f>
        <v/>
      </c>
      <c r="F37" s="6" t="n"/>
      <c r="G37">
        <f>AVERAGE($F$6:$F$105)</f>
        <v/>
      </c>
      <c r="H37">
        <f>G37+3*SQRT(G37*(1-G37/$B$3))</f>
        <v/>
      </c>
      <c r="I37">
        <f>MAX(0,G37-3*SQRT(G37*(1-G37/$B$3)))</f>
        <v/>
      </c>
    </row>
    <row r="38">
      <c r="A38" t="n">
        <v>33</v>
      </c>
      <c r="B38" s="6" t="n"/>
      <c r="C38">
        <f>AVERAGE($B$6:$B$105)</f>
        <v/>
      </c>
      <c r="D38">
        <f>C38+3*SQRT(C38)</f>
        <v/>
      </c>
      <c r="E38">
        <f>MAX(0,C38-3*SQRT(C38))</f>
        <v/>
      </c>
      <c r="F38" s="6" t="n"/>
      <c r="G38">
        <f>AVERAGE($F$6:$F$105)</f>
        <v/>
      </c>
      <c r="H38">
        <f>G38+3*SQRT(G38*(1-G38/$B$3))</f>
        <v/>
      </c>
      <c r="I38">
        <f>MAX(0,G38-3*SQRT(G38*(1-G38/$B$3)))</f>
        <v/>
      </c>
    </row>
    <row r="39">
      <c r="A39" t="n">
        <v>34</v>
      </c>
      <c r="B39" s="6" t="n"/>
      <c r="C39">
        <f>AVERAGE($B$6:$B$105)</f>
        <v/>
      </c>
      <c r="D39">
        <f>C39+3*SQRT(C39)</f>
        <v/>
      </c>
      <c r="E39">
        <f>MAX(0,C39-3*SQRT(C39))</f>
        <v/>
      </c>
      <c r="F39" s="6" t="n"/>
      <c r="G39">
        <f>AVERAGE($F$6:$F$105)</f>
        <v/>
      </c>
      <c r="H39">
        <f>G39+3*SQRT(G39*(1-G39/$B$3))</f>
        <v/>
      </c>
      <c r="I39">
        <f>MAX(0,G39-3*SQRT(G39*(1-G39/$B$3)))</f>
        <v/>
      </c>
    </row>
    <row r="40">
      <c r="A40" t="n">
        <v>35</v>
      </c>
      <c r="B40" s="6" t="n"/>
      <c r="C40">
        <f>AVERAGE($B$6:$B$105)</f>
        <v/>
      </c>
      <c r="D40">
        <f>C40+3*SQRT(C40)</f>
        <v/>
      </c>
      <c r="E40">
        <f>MAX(0,C40-3*SQRT(C40))</f>
        <v/>
      </c>
      <c r="F40" s="6" t="n"/>
      <c r="G40">
        <f>AVERAGE($F$6:$F$105)</f>
        <v/>
      </c>
      <c r="H40">
        <f>G40+3*SQRT(G40*(1-G40/$B$3))</f>
        <v/>
      </c>
      <c r="I40">
        <f>MAX(0,G40-3*SQRT(G40*(1-G40/$B$3)))</f>
        <v/>
      </c>
    </row>
    <row r="41">
      <c r="A41" t="n">
        <v>36</v>
      </c>
      <c r="B41" s="6" t="n"/>
      <c r="C41">
        <f>AVERAGE($B$6:$B$105)</f>
        <v/>
      </c>
      <c r="D41">
        <f>C41+3*SQRT(C41)</f>
        <v/>
      </c>
      <c r="E41">
        <f>MAX(0,C41-3*SQRT(C41))</f>
        <v/>
      </c>
      <c r="F41" s="6" t="n"/>
      <c r="G41">
        <f>AVERAGE($F$6:$F$105)</f>
        <v/>
      </c>
      <c r="H41">
        <f>G41+3*SQRT(G41*(1-G41/$B$3))</f>
        <v/>
      </c>
      <c r="I41">
        <f>MAX(0,G41-3*SQRT(G41*(1-G41/$B$3)))</f>
        <v/>
      </c>
    </row>
    <row r="42">
      <c r="A42" t="n">
        <v>37</v>
      </c>
      <c r="B42" s="6" t="n"/>
      <c r="C42">
        <f>AVERAGE($B$6:$B$105)</f>
        <v/>
      </c>
      <c r="D42">
        <f>C42+3*SQRT(C42)</f>
        <v/>
      </c>
      <c r="E42">
        <f>MAX(0,C42-3*SQRT(C42))</f>
        <v/>
      </c>
      <c r="F42" s="6" t="n"/>
      <c r="G42">
        <f>AVERAGE($F$6:$F$105)</f>
        <v/>
      </c>
      <c r="H42">
        <f>G42+3*SQRT(G42*(1-G42/$B$3))</f>
        <v/>
      </c>
      <c r="I42">
        <f>MAX(0,G42-3*SQRT(G42*(1-G42/$B$3)))</f>
        <v/>
      </c>
    </row>
    <row r="43">
      <c r="A43" t="n">
        <v>38</v>
      </c>
      <c r="B43" s="6" t="n"/>
      <c r="C43">
        <f>AVERAGE($B$6:$B$105)</f>
        <v/>
      </c>
      <c r="D43">
        <f>C43+3*SQRT(C43)</f>
        <v/>
      </c>
      <c r="E43">
        <f>MAX(0,C43-3*SQRT(C43))</f>
        <v/>
      </c>
      <c r="F43" s="6" t="n"/>
      <c r="G43">
        <f>AVERAGE($F$6:$F$105)</f>
        <v/>
      </c>
      <c r="H43">
        <f>G43+3*SQRT(G43*(1-G43/$B$3))</f>
        <v/>
      </c>
      <c r="I43">
        <f>MAX(0,G43-3*SQRT(G43*(1-G43/$B$3)))</f>
        <v/>
      </c>
    </row>
    <row r="44">
      <c r="A44" t="n">
        <v>39</v>
      </c>
      <c r="B44" s="6" t="n"/>
      <c r="C44">
        <f>AVERAGE($B$6:$B$105)</f>
        <v/>
      </c>
      <c r="D44">
        <f>C44+3*SQRT(C44)</f>
        <v/>
      </c>
      <c r="E44">
        <f>MAX(0,C44-3*SQRT(C44))</f>
        <v/>
      </c>
      <c r="F44" s="6" t="n"/>
      <c r="G44">
        <f>AVERAGE($F$6:$F$105)</f>
        <v/>
      </c>
      <c r="H44">
        <f>G44+3*SQRT(G44*(1-G44/$B$3))</f>
        <v/>
      </c>
      <c r="I44">
        <f>MAX(0,G44-3*SQRT(G44*(1-G44/$B$3)))</f>
        <v/>
      </c>
    </row>
    <row r="45">
      <c r="A45" t="n">
        <v>40</v>
      </c>
      <c r="B45" s="6" t="n"/>
      <c r="C45">
        <f>AVERAGE($B$6:$B$105)</f>
        <v/>
      </c>
      <c r="D45">
        <f>C45+3*SQRT(C45)</f>
        <v/>
      </c>
      <c r="E45">
        <f>MAX(0,C45-3*SQRT(C45))</f>
        <v/>
      </c>
      <c r="F45" s="6" t="n"/>
      <c r="G45">
        <f>AVERAGE($F$6:$F$105)</f>
        <v/>
      </c>
      <c r="H45">
        <f>G45+3*SQRT(G45*(1-G45/$B$3))</f>
        <v/>
      </c>
      <c r="I45">
        <f>MAX(0,G45-3*SQRT(G45*(1-G45/$B$3)))</f>
        <v/>
      </c>
    </row>
    <row r="46">
      <c r="A46" t="n">
        <v>41</v>
      </c>
      <c r="B46" s="6" t="n"/>
      <c r="C46">
        <f>AVERAGE($B$6:$B$105)</f>
        <v/>
      </c>
      <c r="D46">
        <f>C46+3*SQRT(C46)</f>
        <v/>
      </c>
      <c r="E46">
        <f>MAX(0,C46-3*SQRT(C46))</f>
        <v/>
      </c>
      <c r="F46" s="6" t="n"/>
      <c r="G46">
        <f>AVERAGE($F$6:$F$105)</f>
        <v/>
      </c>
      <c r="H46">
        <f>G46+3*SQRT(G46*(1-G46/$B$3))</f>
        <v/>
      </c>
      <c r="I46">
        <f>MAX(0,G46-3*SQRT(G46*(1-G46/$B$3)))</f>
        <v/>
      </c>
    </row>
    <row r="47">
      <c r="A47" t="n">
        <v>42</v>
      </c>
      <c r="B47" s="6" t="n"/>
      <c r="C47">
        <f>AVERAGE($B$6:$B$105)</f>
        <v/>
      </c>
      <c r="D47">
        <f>C47+3*SQRT(C47)</f>
        <v/>
      </c>
      <c r="E47">
        <f>MAX(0,C47-3*SQRT(C47))</f>
        <v/>
      </c>
      <c r="F47" s="6" t="n"/>
      <c r="G47">
        <f>AVERAGE($F$6:$F$105)</f>
        <v/>
      </c>
      <c r="H47">
        <f>G47+3*SQRT(G47*(1-G47/$B$3))</f>
        <v/>
      </c>
      <c r="I47">
        <f>MAX(0,G47-3*SQRT(G47*(1-G47/$B$3)))</f>
        <v/>
      </c>
    </row>
    <row r="48">
      <c r="A48" t="n">
        <v>43</v>
      </c>
      <c r="B48" s="6" t="n"/>
      <c r="C48">
        <f>AVERAGE($B$6:$B$105)</f>
        <v/>
      </c>
      <c r="D48">
        <f>C48+3*SQRT(C48)</f>
        <v/>
      </c>
      <c r="E48">
        <f>MAX(0,C48-3*SQRT(C48))</f>
        <v/>
      </c>
      <c r="F48" s="6" t="n"/>
      <c r="G48">
        <f>AVERAGE($F$6:$F$105)</f>
        <v/>
      </c>
      <c r="H48">
        <f>G48+3*SQRT(G48*(1-G48/$B$3))</f>
        <v/>
      </c>
      <c r="I48">
        <f>MAX(0,G48-3*SQRT(G48*(1-G48/$B$3)))</f>
        <v/>
      </c>
    </row>
    <row r="49">
      <c r="A49" t="n">
        <v>44</v>
      </c>
      <c r="B49" s="6" t="n"/>
      <c r="C49">
        <f>AVERAGE($B$6:$B$105)</f>
        <v/>
      </c>
      <c r="D49">
        <f>C49+3*SQRT(C49)</f>
        <v/>
      </c>
      <c r="E49">
        <f>MAX(0,C49-3*SQRT(C49))</f>
        <v/>
      </c>
      <c r="F49" s="6" t="n"/>
      <c r="G49">
        <f>AVERAGE($F$6:$F$105)</f>
        <v/>
      </c>
      <c r="H49">
        <f>G49+3*SQRT(G49*(1-G49/$B$3))</f>
        <v/>
      </c>
      <c r="I49">
        <f>MAX(0,G49-3*SQRT(G49*(1-G49/$B$3)))</f>
        <v/>
      </c>
    </row>
    <row r="50">
      <c r="A50" t="n">
        <v>45</v>
      </c>
      <c r="B50" s="6" t="n"/>
      <c r="C50">
        <f>AVERAGE($B$6:$B$105)</f>
        <v/>
      </c>
      <c r="D50">
        <f>C50+3*SQRT(C50)</f>
        <v/>
      </c>
      <c r="E50">
        <f>MAX(0,C50-3*SQRT(C50))</f>
        <v/>
      </c>
      <c r="F50" s="6" t="n"/>
      <c r="G50">
        <f>AVERAGE($F$6:$F$105)</f>
        <v/>
      </c>
      <c r="H50">
        <f>G50+3*SQRT(G50*(1-G50/$B$3))</f>
        <v/>
      </c>
      <c r="I50">
        <f>MAX(0,G50-3*SQRT(G50*(1-G50/$B$3)))</f>
        <v/>
      </c>
    </row>
    <row r="51">
      <c r="A51" t="n">
        <v>46</v>
      </c>
      <c r="B51" s="6" t="n"/>
      <c r="C51">
        <f>AVERAGE($B$6:$B$105)</f>
        <v/>
      </c>
      <c r="D51">
        <f>C51+3*SQRT(C51)</f>
        <v/>
      </c>
      <c r="E51">
        <f>MAX(0,C51-3*SQRT(C51))</f>
        <v/>
      </c>
      <c r="F51" s="6" t="n"/>
      <c r="G51">
        <f>AVERAGE($F$6:$F$105)</f>
        <v/>
      </c>
      <c r="H51">
        <f>G51+3*SQRT(G51*(1-G51/$B$3))</f>
        <v/>
      </c>
      <c r="I51">
        <f>MAX(0,G51-3*SQRT(G51*(1-G51/$B$3)))</f>
        <v/>
      </c>
    </row>
    <row r="52">
      <c r="A52" t="n">
        <v>47</v>
      </c>
      <c r="B52" s="6" t="n"/>
      <c r="C52">
        <f>AVERAGE($B$6:$B$105)</f>
        <v/>
      </c>
      <c r="D52">
        <f>C52+3*SQRT(C52)</f>
        <v/>
      </c>
      <c r="E52">
        <f>MAX(0,C52-3*SQRT(C52))</f>
        <v/>
      </c>
      <c r="F52" s="6" t="n"/>
      <c r="G52">
        <f>AVERAGE($F$6:$F$105)</f>
        <v/>
      </c>
      <c r="H52">
        <f>G52+3*SQRT(G52*(1-G52/$B$3))</f>
        <v/>
      </c>
      <c r="I52">
        <f>MAX(0,G52-3*SQRT(G52*(1-G52/$B$3)))</f>
        <v/>
      </c>
    </row>
    <row r="53">
      <c r="A53" t="n">
        <v>48</v>
      </c>
      <c r="B53" s="6" t="n"/>
      <c r="C53">
        <f>AVERAGE($B$6:$B$105)</f>
        <v/>
      </c>
      <c r="D53">
        <f>C53+3*SQRT(C53)</f>
        <v/>
      </c>
      <c r="E53">
        <f>MAX(0,C53-3*SQRT(C53))</f>
        <v/>
      </c>
      <c r="F53" s="6" t="n"/>
      <c r="G53">
        <f>AVERAGE($F$6:$F$105)</f>
        <v/>
      </c>
      <c r="H53">
        <f>G53+3*SQRT(G53*(1-G53/$B$3))</f>
        <v/>
      </c>
      <c r="I53">
        <f>MAX(0,G53-3*SQRT(G53*(1-G53/$B$3)))</f>
        <v/>
      </c>
    </row>
    <row r="54">
      <c r="A54" t="n">
        <v>49</v>
      </c>
      <c r="B54" s="6" t="n"/>
      <c r="C54">
        <f>AVERAGE($B$6:$B$105)</f>
        <v/>
      </c>
      <c r="D54">
        <f>C54+3*SQRT(C54)</f>
        <v/>
      </c>
      <c r="E54">
        <f>MAX(0,C54-3*SQRT(C54))</f>
        <v/>
      </c>
      <c r="F54" s="6" t="n"/>
      <c r="G54">
        <f>AVERAGE($F$6:$F$105)</f>
        <v/>
      </c>
      <c r="H54">
        <f>G54+3*SQRT(G54*(1-G54/$B$3))</f>
        <v/>
      </c>
      <c r="I54">
        <f>MAX(0,G54-3*SQRT(G54*(1-G54/$B$3)))</f>
        <v/>
      </c>
    </row>
    <row r="55">
      <c r="A55" t="n">
        <v>50</v>
      </c>
      <c r="B55" s="6" t="n"/>
      <c r="C55">
        <f>AVERAGE($B$6:$B$105)</f>
        <v/>
      </c>
      <c r="D55">
        <f>C55+3*SQRT(C55)</f>
        <v/>
      </c>
      <c r="E55">
        <f>MAX(0,C55-3*SQRT(C55))</f>
        <v/>
      </c>
      <c r="F55" s="6" t="n"/>
      <c r="G55">
        <f>AVERAGE($F$6:$F$105)</f>
        <v/>
      </c>
      <c r="H55">
        <f>G55+3*SQRT(G55*(1-G55/$B$3))</f>
        <v/>
      </c>
      <c r="I55">
        <f>MAX(0,G55-3*SQRT(G55*(1-G55/$B$3)))</f>
        <v/>
      </c>
    </row>
    <row r="56">
      <c r="A56" t="n">
        <v>51</v>
      </c>
      <c r="B56" s="6" t="n"/>
      <c r="C56">
        <f>AVERAGE($B$6:$B$105)</f>
        <v/>
      </c>
      <c r="D56">
        <f>C56+3*SQRT(C56)</f>
        <v/>
      </c>
      <c r="E56">
        <f>MAX(0,C56-3*SQRT(C56))</f>
        <v/>
      </c>
      <c r="F56" s="6" t="n"/>
      <c r="G56">
        <f>AVERAGE($F$6:$F$105)</f>
        <v/>
      </c>
      <c r="H56">
        <f>G56+3*SQRT(G56*(1-G56/$B$3))</f>
        <v/>
      </c>
      <c r="I56">
        <f>MAX(0,G56-3*SQRT(G56*(1-G56/$B$3)))</f>
        <v/>
      </c>
    </row>
    <row r="57">
      <c r="A57" t="n">
        <v>52</v>
      </c>
      <c r="B57" s="6" t="n"/>
      <c r="C57">
        <f>AVERAGE($B$6:$B$105)</f>
        <v/>
      </c>
      <c r="D57">
        <f>C57+3*SQRT(C57)</f>
        <v/>
      </c>
      <c r="E57">
        <f>MAX(0,C57-3*SQRT(C57))</f>
        <v/>
      </c>
      <c r="F57" s="6" t="n"/>
      <c r="G57">
        <f>AVERAGE($F$6:$F$105)</f>
        <v/>
      </c>
      <c r="H57">
        <f>G57+3*SQRT(G57*(1-G57/$B$3))</f>
        <v/>
      </c>
      <c r="I57">
        <f>MAX(0,G57-3*SQRT(G57*(1-G57/$B$3)))</f>
        <v/>
      </c>
    </row>
    <row r="58">
      <c r="A58" t="n">
        <v>53</v>
      </c>
      <c r="B58" s="6" t="n"/>
      <c r="C58">
        <f>AVERAGE($B$6:$B$105)</f>
        <v/>
      </c>
      <c r="D58">
        <f>C58+3*SQRT(C58)</f>
        <v/>
      </c>
      <c r="E58">
        <f>MAX(0,C58-3*SQRT(C58))</f>
        <v/>
      </c>
      <c r="F58" s="6" t="n"/>
      <c r="G58">
        <f>AVERAGE($F$6:$F$105)</f>
        <v/>
      </c>
      <c r="H58">
        <f>G58+3*SQRT(G58*(1-G58/$B$3))</f>
        <v/>
      </c>
      <c r="I58">
        <f>MAX(0,G58-3*SQRT(G58*(1-G58/$B$3)))</f>
        <v/>
      </c>
    </row>
    <row r="59">
      <c r="A59" t="n">
        <v>54</v>
      </c>
      <c r="B59" s="6" t="n"/>
      <c r="C59">
        <f>AVERAGE($B$6:$B$105)</f>
        <v/>
      </c>
      <c r="D59">
        <f>C59+3*SQRT(C59)</f>
        <v/>
      </c>
      <c r="E59">
        <f>MAX(0,C59-3*SQRT(C59))</f>
        <v/>
      </c>
      <c r="F59" s="6" t="n"/>
      <c r="G59">
        <f>AVERAGE($F$6:$F$105)</f>
        <v/>
      </c>
      <c r="H59">
        <f>G59+3*SQRT(G59*(1-G59/$B$3))</f>
        <v/>
      </c>
      <c r="I59">
        <f>MAX(0,G59-3*SQRT(G59*(1-G59/$B$3)))</f>
        <v/>
      </c>
    </row>
    <row r="60">
      <c r="A60" t="n">
        <v>55</v>
      </c>
      <c r="B60" s="6" t="n"/>
      <c r="C60">
        <f>AVERAGE($B$6:$B$105)</f>
        <v/>
      </c>
      <c r="D60">
        <f>C60+3*SQRT(C60)</f>
        <v/>
      </c>
      <c r="E60">
        <f>MAX(0,C60-3*SQRT(C60))</f>
        <v/>
      </c>
      <c r="F60" s="6" t="n"/>
      <c r="G60">
        <f>AVERAGE($F$6:$F$105)</f>
        <v/>
      </c>
      <c r="H60">
        <f>G60+3*SQRT(G60*(1-G60/$B$3))</f>
        <v/>
      </c>
      <c r="I60">
        <f>MAX(0,G60-3*SQRT(G60*(1-G60/$B$3)))</f>
        <v/>
      </c>
    </row>
    <row r="61">
      <c r="A61" t="n">
        <v>56</v>
      </c>
      <c r="B61" s="6" t="n"/>
      <c r="C61">
        <f>AVERAGE($B$6:$B$105)</f>
        <v/>
      </c>
      <c r="D61">
        <f>C61+3*SQRT(C61)</f>
        <v/>
      </c>
      <c r="E61">
        <f>MAX(0,C61-3*SQRT(C61))</f>
        <v/>
      </c>
      <c r="F61" s="6" t="n"/>
      <c r="G61">
        <f>AVERAGE($F$6:$F$105)</f>
        <v/>
      </c>
      <c r="H61">
        <f>G61+3*SQRT(G61*(1-G61/$B$3))</f>
        <v/>
      </c>
      <c r="I61">
        <f>MAX(0,G61-3*SQRT(G61*(1-G61/$B$3)))</f>
        <v/>
      </c>
    </row>
    <row r="62">
      <c r="A62" t="n">
        <v>57</v>
      </c>
      <c r="B62" s="6" t="n"/>
      <c r="C62">
        <f>AVERAGE($B$6:$B$105)</f>
        <v/>
      </c>
      <c r="D62">
        <f>C62+3*SQRT(C62)</f>
        <v/>
      </c>
      <c r="E62">
        <f>MAX(0,C62-3*SQRT(C62))</f>
        <v/>
      </c>
      <c r="F62" s="6" t="n"/>
      <c r="G62">
        <f>AVERAGE($F$6:$F$105)</f>
        <v/>
      </c>
      <c r="H62">
        <f>G62+3*SQRT(G62*(1-G62/$B$3))</f>
        <v/>
      </c>
      <c r="I62">
        <f>MAX(0,G62-3*SQRT(G62*(1-G62/$B$3)))</f>
        <v/>
      </c>
    </row>
    <row r="63">
      <c r="A63" t="n">
        <v>58</v>
      </c>
      <c r="B63" s="6" t="n"/>
      <c r="C63">
        <f>AVERAGE($B$6:$B$105)</f>
        <v/>
      </c>
      <c r="D63">
        <f>C63+3*SQRT(C63)</f>
        <v/>
      </c>
      <c r="E63">
        <f>MAX(0,C63-3*SQRT(C63))</f>
        <v/>
      </c>
      <c r="F63" s="6" t="n"/>
      <c r="G63">
        <f>AVERAGE($F$6:$F$105)</f>
        <v/>
      </c>
      <c r="H63">
        <f>G63+3*SQRT(G63*(1-G63/$B$3))</f>
        <v/>
      </c>
      <c r="I63">
        <f>MAX(0,G63-3*SQRT(G63*(1-G63/$B$3)))</f>
        <v/>
      </c>
    </row>
    <row r="64">
      <c r="A64" t="n">
        <v>59</v>
      </c>
      <c r="B64" s="6" t="n"/>
      <c r="C64">
        <f>AVERAGE($B$6:$B$105)</f>
        <v/>
      </c>
      <c r="D64">
        <f>C64+3*SQRT(C64)</f>
        <v/>
      </c>
      <c r="E64">
        <f>MAX(0,C64-3*SQRT(C64))</f>
        <v/>
      </c>
      <c r="F64" s="6" t="n"/>
      <c r="G64">
        <f>AVERAGE($F$6:$F$105)</f>
        <v/>
      </c>
      <c r="H64">
        <f>G64+3*SQRT(G64*(1-G64/$B$3))</f>
        <v/>
      </c>
      <c r="I64">
        <f>MAX(0,G64-3*SQRT(G64*(1-G64/$B$3)))</f>
        <v/>
      </c>
    </row>
    <row r="65">
      <c r="A65" t="n">
        <v>60</v>
      </c>
      <c r="B65" s="6" t="n"/>
      <c r="C65">
        <f>AVERAGE($B$6:$B$105)</f>
        <v/>
      </c>
      <c r="D65">
        <f>C65+3*SQRT(C65)</f>
        <v/>
      </c>
      <c r="E65">
        <f>MAX(0,C65-3*SQRT(C65))</f>
        <v/>
      </c>
      <c r="F65" s="6" t="n"/>
      <c r="G65">
        <f>AVERAGE($F$6:$F$105)</f>
        <v/>
      </c>
      <c r="H65">
        <f>G65+3*SQRT(G65*(1-G65/$B$3))</f>
        <v/>
      </c>
      <c r="I65">
        <f>MAX(0,G65-3*SQRT(G65*(1-G65/$B$3)))</f>
        <v/>
      </c>
    </row>
    <row r="66">
      <c r="A66" t="n">
        <v>61</v>
      </c>
      <c r="B66" s="6" t="n"/>
      <c r="C66">
        <f>AVERAGE($B$6:$B$105)</f>
        <v/>
      </c>
      <c r="D66">
        <f>C66+3*SQRT(C66)</f>
        <v/>
      </c>
      <c r="E66">
        <f>MAX(0,C66-3*SQRT(C66))</f>
        <v/>
      </c>
      <c r="F66" s="6" t="n"/>
      <c r="G66">
        <f>AVERAGE($F$6:$F$105)</f>
        <v/>
      </c>
      <c r="H66">
        <f>G66+3*SQRT(G66*(1-G66/$B$3))</f>
        <v/>
      </c>
      <c r="I66">
        <f>MAX(0,G66-3*SQRT(G66*(1-G66/$B$3)))</f>
        <v/>
      </c>
    </row>
    <row r="67">
      <c r="A67" t="n">
        <v>62</v>
      </c>
      <c r="B67" s="6" t="n"/>
      <c r="C67">
        <f>AVERAGE($B$6:$B$105)</f>
        <v/>
      </c>
      <c r="D67">
        <f>C67+3*SQRT(C67)</f>
        <v/>
      </c>
      <c r="E67">
        <f>MAX(0,C67-3*SQRT(C67))</f>
        <v/>
      </c>
      <c r="F67" s="6" t="n"/>
      <c r="G67">
        <f>AVERAGE($F$6:$F$105)</f>
        <v/>
      </c>
      <c r="H67">
        <f>G67+3*SQRT(G67*(1-G67/$B$3))</f>
        <v/>
      </c>
      <c r="I67">
        <f>MAX(0,G67-3*SQRT(G67*(1-G67/$B$3)))</f>
        <v/>
      </c>
    </row>
    <row r="68">
      <c r="A68" t="n">
        <v>63</v>
      </c>
      <c r="B68" s="6" t="n"/>
      <c r="C68">
        <f>AVERAGE($B$6:$B$105)</f>
        <v/>
      </c>
      <c r="D68">
        <f>C68+3*SQRT(C68)</f>
        <v/>
      </c>
      <c r="E68">
        <f>MAX(0,C68-3*SQRT(C68))</f>
        <v/>
      </c>
      <c r="F68" s="6" t="n"/>
      <c r="G68">
        <f>AVERAGE($F$6:$F$105)</f>
        <v/>
      </c>
      <c r="H68">
        <f>G68+3*SQRT(G68*(1-G68/$B$3))</f>
        <v/>
      </c>
      <c r="I68">
        <f>MAX(0,G68-3*SQRT(G68*(1-G68/$B$3)))</f>
        <v/>
      </c>
    </row>
    <row r="69">
      <c r="A69" t="n">
        <v>64</v>
      </c>
      <c r="B69" s="6" t="n"/>
      <c r="C69">
        <f>AVERAGE($B$6:$B$105)</f>
        <v/>
      </c>
      <c r="D69">
        <f>C69+3*SQRT(C69)</f>
        <v/>
      </c>
      <c r="E69">
        <f>MAX(0,C69-3*SQRT(C69))</f>
        <v/>
      </c>
      <c r="F69" s="6" t="n"/>
      <c r="G69">
        <f>AVERAGE($F$6:$F$105)</f>
        <v/>
      </c>
      <c r="H69">
        <f>G69+3*SQRT(G69*(1-G69/$B$3))</f>
        <v/>
      </c>
      <c r="I69">
        <f>MAX(0,G69-3*SQRT(G69*(1-G69/$B$3)))</f>
        <v/>
      </c>
    </row>
    <row r="70">
      <c r="A70" t="n">
        <v>65</v>
      </c>
      <c r="B70" s="6" t="n"/>
      <c r="C70">
        <f>AVERAGE($B$6:$B$105)</f>
        <v/>
      </c>
      <c r="D70">
        <f>C70+3*SQRT(C70)</f>
        <v/>
      </c>
      <c r="E70">
        <f>MAX(0,C70-3*SQRT(C70))</f>
        <v/>
      </c>
      <c r="F70" s="6" t="n"/>
      <c r="G70">
        <f>AVERAGE($F$6:$F$105)</f>
        <v/>
      </c>
      <c r="H70">
        <f>G70+3*SQRT(G70*(1-G70/$B$3))</f>
        <v/>
      </c>
      <c r="I70">
        <f>MAX(0,G70-3*SQRT(G70*(1-G70/$B$3)))</f>
        <v/>
      </c>
    </row>
    <row r="71">
      <c r="A71" t="n">
        <v>66</v>
      </c>
      <c r="B71" s="6" t="n"/>
      <c r="C71">
        <f>AVERAGE($B$6:$B$105)</f>
        <v/>
      </c>
      <c r="D71">
        <f>C71+3*SQRT(C71)</f>
        <v/>
      </c>
      <c r="E71">
        <f>MAX(0,C71-3*SQRT(C71))</f>
        <v/>
      </c>
      <c r="F71" s="6" t="n"/>
      <c r="G71">
        <f>AVERAGE($F$6:$F$105)</f>
        <v/>
      </c>
      <c r="H71">
        <f>G71+3*SQRT(G71*(1-G71/$B$3))</f>
        <v/>
      </c>
      <c r="I71">
        <f>MAX(0,G71-3*SQRT(G71*(1-G71/$B$3)))</f>
        <v/>
      </c>
    </row>
    <row r="72">
      <c r="A72" t="n">
        <v>67</v>
      </c>
      <c r="B72" s="6" t="n"/>
      <c r="C72">
        <f>AVERAGE($B$6:$B$105)</f>
        <v/>
      </c>
      <c r="D72">
        <f>C72+3*SQRT(C72)</f>
        <v/>
      </c>
      <c r="E72">
        <f>MAX(0,C72-3*SQRT(C72))</f>
        <v/>
      </c>
      <c r="F72" s="6" t="n"/>
      <c r="G72">
        <f>AVERAGE($F$6:$F$105)</f>
        <v/>
      </c>
      <c r="H72">
        <f>G72+3*SQRT(G72*(1-G72/$B$3))</f>
        <v/>
      </c>
      <c r="I72">
        <f>MAX(0,G72-3*SQRT(G72*(1-G72/$B$3)))</f>
        <v/>
      </c>
    </row>
    <row r="73">
      <c r="A73" t="n">
        <v>68</v>
      </c>
      <c r="B73" s="6" t="n"/>
      <c r="C73">
        <f>AVERAGE($B$6:$B$105)</f>
        <v/>
      </c>
      <c r="D73">
        <f>C73+3*SQRT(C73)</f>
        <v/>
      </c>
      <c r="E73">
        <f>MAX(0,C73-3*SQRT(C73))</f>
        <v/>
      </c>
      <c r="F73" s="6" t="n"/>
      <c r="G73">
        <f>AVERAGE($F$6:$F$105)</f>
        <v/>
      </c>
      <c r="H73">
        <f>G73+3*SQRT(G73*(1-G73/$B$3))</f>
        <v/>
      </c>
      <c r="I73">
        <f>MAX(0,G73-3*SQRT(G73*(1-G73/$B$3)))</f>
        <v/>
      </c>
    </row>
    <row r="74">
      <c r="A74" t="n">
        <v>69</v>
      </c>
      <c r="B74" s="6" t="n"/>
      <c r="C74">
        <f>AVERAGE($B$6:$B$105)</f>
        <v/>
      </c>
      <c r="D74">
        <f>C74+3*SQRT(C74)</f>
        <v/>
      </c>
      <c r="E74">
        <f>MAX(0,C74-3*SQRT(C74))</f>
        <v/>
      </c>
      <c r="F74" s="6" t="n"/>
      <c r="G74">
        <f>AVERAGE($F$6:$F$105)</f>
        <v/>
      </c>
      <c r="H74">
        <f>G74+3*SQRT(G74*(1-G74/$B$3))</f>
        <v/>
      </c>
      <c r="I74">
        <f>MAX(0,G74-3*SQRT(G74*(1-G74/$B$3)))</f>
        <v/>
      </c>
    </row>
    <row r="75">
      <c r="A75" t="n">
        <v>70</v>
      </c>
      <c r="B75" s="6" t="n"/>
      <c r="C75">
        <f>AVERAGE($B$6:$B$105)</f>
        <v/>
      </c>
      <c r="D75">
        <f>C75+3*SQRT(C75)</f>
        <v/>
      </c>
      <c r="E75">
        <f>MAX(0,C75-3*SQRT(C75))</f>
        <v/>
      </c>
      <c r="F75" s="6" t="n"/>
      <c r="G75">
        <f>AVERAGE($F$6:$F$105)</f>
        <v/>
      </c>
      <c r="H75">
        <f>G75+3*SQRT(G75*(1-G75/$B$3))</f>
        <v/>
      </c>
      <c r="I75">
        <f>MAX(0,G75-3*SQRT(G75*(1-G75/$B$3)))</f>
        <v/>
      </c>
    </row>
    <row r="76">
      <c r="A76" t="n">
        <v>71</v>
      </c>
      <c r="B76" s="6" t="n"/>
      <c r="C76">
        <f>AVERAGE($B$6:$B$105)</f>
        <v/>
      </c>
      <c r="D76">
        <f>C76+3*SQRT(C76)</f>
        <v/>
      </c>
      <c r="E76">
        <f>MAX(0,C76-3*SQRT(C76))</f>
        <v/>
      </c>
      <c r="F76" s="6" t="n"/>
      <c r="G76">
        <f>AVERAGE($F$6:$F$105)</f>
        <v/>
      </c>
      <c r="H76">
        <f>G76+3*SQRT(G76*(1-G76/$B$3))</f>
        <v/>
      </c>
      <c r="I76">
        <f>MAX(0,G76-3*SQRT(G76*(1-G76/$B$3)))</f>
        <v/>
      </c>
    </row>
    <row r="77">
      <c r="A77" t="n">
        <v>72</v>
      </c>
      <c r="B77" s="6" t="n"/>
      <c r="C77">
        <f>AVERAGE($B$6:$B$105)</f>
        <v/>
      </c>
      <c r="D77">
        <f>C77+3*SQRT(C77)</f>
        <v/>
      </c>
      <c r="E77">
        <f>MAX(0,C77-3*SQRT(C77))</f>
        <v/>
      </c>
      <c r="F77" s="6" t="n"/>
      <c r="G77">
        <f>AVERAGE($F$6:$F$105)</f>
        <v/>
      </c>
      <c r="H77">
        <f>G77+3*SQRT(G77*(1-G77/$B$3))</f>
        <v/>
      </c>
      <c r="I77">
        <f>MAX(0,G77-3*SQRT(G77*(1-G77/$B$3)))</f>
        <v/>
      </c>
    </row>
    <row r="78">
      <c r="A78" t="n">
        <v>73</v>
      </c>
      <c r="B78" s="6" t="n"/>
      <c r="C78">
        <f>AVERAGE($B$6:$B$105)</f>
        <v/>
      </c>
      <c r="D78">
        <f>C78+3*SQRT(C78)</f>
        <v/>
      </c>
      <c r="E78">
        <f>MAX(0,C78-3*SQRT(C78))</f>
        <v/>
      </c>
      <c r="F78" s="6" t="n"/>
      <c r="G78">
        <f>AVERAGE($F$6:$F$105)</f>
        <v/>
      </c>
      <c r="H78">
        <f>G78+3*SQRT(G78*(1-G78/$B$3))</f>
        <v/>
      </c>
      <c r="I78">
        <f>MAX(0,G78-3*SQRT(G78*(1-G78/$B$3)))</f>
        <v/>
      </c>
    </row>
    <row r="79">
      <c r="A79" t="n">
        <v>74</v>
      </c>
      <c r="B79" s="6" t="n"/>
      <c r="C79">
        <f>AVERAGE($B$6:$B$105)</f>
        <v/>
      </c>
      <c r="D79">
        <f>C79+3*SQRT(C79)</f>
        <v/>
      </c>
      <c r="E79">
        <f>MAX(0,C79-3*SQRT(C79))</f>
        <v/>
      </c>
      <c r="F79" s="6" t="n"/>
      <c r="G79">
        <f>AVERAGE($F$6:$F$105)</f>
        <v/>
      </c>
      <c r="H79">
        <f>G79+3*SQRT(G79*(1-G79/$B$3))</f>
        <v/>
      </c>
      <c r="I79">
        <f>MAX(0,G79-3*SQRT(G79*(1-G79/$B$3)))</f>
        <v/>
      </c>
    </row>
    <row r="80">
      <c r="A80" t="n">
        <v>75</v>
      </c>
      <c r="B80" s="6" t="n"/>
      <c r="C80">
        <f>AVERAGE($B$6:$B$105)</f>
        <v/>
      </c>
      <c r="D80">
        <f>C80+3*SQRT(C80)</f>
        <v/>
      </c>
      <c r="E80">
        <f>MAX(0,C80-3*SQRT(C80))</f>
        <v/>
      </c>
      <c r="F80" s="6" t="n"/>
      <c r="G80">
        <f>AVERAGE($F$6:$F$105)</f>
        <v/>
      </c>
      <c r="H80">
        <f>G80+3*SQRT(G80*(1-G80/$B$3))</f>
        <v/>
      </c>
      <c r="I80">
        <f>MAX(0,G80-3*SQRT(G80*(1-G80/$B$3)))</f>
        <v/>
      </c>
    </row>
    <row r="81">
      <c r="A81" t="n">
        <v>76</v>
      </c>
      <c r="B81" s="6" t="n"/>
      <c r="C81">
        <f>AVERAGE($B$6:$B$105)</f>
        <v/>
      </c>
      <c r="D81">
        <f>C81+3*SQRT(C81)</f>
        <v/>
      </c>
      <c r="E81">
        <f>MAX(0,C81-3*SQRT(C81))</f>
        <v/>
      </c>
      <c r="F81" s="6" t="n"/>
      <c r="G81">
        <f>AVERAGE($F$6:$F$105)</f>
        <v/>
      </c>
      <c r="H81">
        <f>G81+3*SQRT(G81*(1-G81/$B$3))</f>
        <v/>
      </c>
      <c r="I81">
        <f>MAX(0,G81-3*SQRT(G81*(1-G81/$B$3)))</f>
        <v/>
      </c>
    </row>
    <row r="82">
      <c r="A82" t="n">
        <v>77</v>
      </c>
      <c r="B82" s="6" t="n"/>
      <c r="C82">
        <f>AVERAGE($B$6:$B$105)</f>
        <v/>
      </c>
      <c r="D82">
        <f>C82+3*SQRT(C82)</f>
        <v/>
      </c>
      <c r="E82">
        <f>MAX(0,C82-3*SQRT(C82))</f>
        <v/>
      </c>
      <c r="F82" s="6" t="n"/>
      <c r="G82">
        <f>AVERAGE($F$6:$F$105)</f>
        <v/>
      </c>
      <c r="H82">
        <f>G82+3*SQRT(G82*(1-G82/$B$3))</f>
        <v/>
      </c>
      <c r="I82">
        <f>MAX(0,G82-3*SQRT(G82*(1-G82/$B$3)))</f>
        <v/>
      </c>
    </row>
    <row r="83">
      <c r="A83" t="n">
        <v>78</v>
      </c>
      <c r="B83" s="6" t="n"/>
      <c r="C83">
        <f>AVERAGE($B$6:$B$105)</f>
        <v/>
      </c>
      <c r="D83">
        <f>C83+3*SQRT(C83)</f>
        <v/>
      </c>
      <c r="E83">
        <f>MAX(0,C83-3*SQRT(C83))</f>
        <v/>
      </c>
      <c r="F83" s="6" t="n"/>
      <c r="G83">
        <f>AVERAGE($F$6:$F$105)</f>
        <v/>
      </c>
      <c r="H83">
        <f>G83+3*SQRT(G83*(1-G83/$B$3))</f>
        <v/>
      </c>
      <c r="I83">
        <f>MAX(0,G83-3*SQRT(G83*(1-G83/$B$3)))</f>
        <v/>
      </c>
    </row>
    <row r="84">
      <c r="A84" t="n">
        <v>79</v>
      </c>
      <c r="B84" s="6" t="n"/>
      <c r="C84">
        <f>AVERAGE($B$6:$B$105)</f>
        <v/>
      </c>
      <c r="D84">
        <f>C84+3*SQRT(C84)</f>
        <v/>
      </c>
      <c r="E84">
        <f>MAX(0,C84-3*SQRT(C84))</f>
        <v/>
      </c>
      <c r="F84" s="6" t="n"/>
      <c r="G84">
        <f>AVERAGE($F$6:$F$105)</f>
        <v/>
      </c>
      <c r="H84">
        <f>G84+3*SQRT(G84*(1-G84/$B$3))</f>
        <v/>
      </c>
      <c r="I84">
        <f>MAX(0,G84-3*SQRT(G84*(1-G84/$B$3)))</f>
        <v/>
      </c>
    </row>
    <row r="85">
      <c r="A85" t="n">
        <v>80</v>
      </c>
      <c r="B85" s="6" t="n"/>
      <c r="C85">
        <f>AVERAGE($B$6:$B$105)</f>
        <v/>
      </c>
      <c r="D85">
        <f>C85+3*SQRT(C85)</f>
        <v/>
      </c>
      <c r="E85">
        <f>MAX(0,C85-3*SQRT(C85))</f>
        <v/>
      </c>
      <c r="F85" s="6" t="n"/>
      <c r="G85">
        <f>AVERAGE($F$6:$F$105)</f>
        <v/>
      </c>
      <c r="H85">
        <f>G85+3*SQRT(G85*(1-G85/$B$3))</f>
        <v/>
      </c>
      <c r="I85">
        <f>MAX(0,G85-3*SQRT(G85*(1-G85/$B$3)))</f>
        <v/>
      </c>
    </row>
    <row r="86">
      <c r="A86" t="n">
        <v>81</v>
      </c>
      <c r="B86" s="6" t="n"/>
      <c r="C86">
        <f>AVERAGE($B$6:$B$105)</f>
        <v/>
      </c>
      <c r="D86">
        <f>C86+3*SQRT(C86)</f>
        <v/>
      </c>
      <c r="E86">
        <f>MAX(0,C86-3*SQRT(C86))</f>
        <v/>
      </c>
      <c r="F86" s="6" t="n"/>
      <c r="G86">
        <f>AVERAGE($F$6:$F$105)</f>
        <v/>
      </c>
      <c r="H86">
        <f>G86+3*SQRT(G86*(1-G86/$B$3))</f>
        <v/>
      </c>
      <c r="I86">
        <f>MAX(0,G86-3*SQRT(G86*(1-G86/$B$3)))</f>
        <v/>
      </c>
    </row>
    <row r="87">
      <c r="A87" t="n">
        <v>82</v>
      </c>
      <c r="B87" s="6" t="n"/>
      <c r="C87">
        <f>AVERAGE($B$6:$B$105)</f>
        <v/>
      </c>
      <c r="D87">
        <f>C87+3*SQRT(C87)</f>
        <v/>
      </c>
      <c r="E87">
        <f>MAX(0,C87-3*SQRT(C87))</f>
        <v/>
      </c>
      <c r="F87" s="6" t="n"/>
      <c r="G87">
        <f>AVERAGE($F$6:$F$105)</f>
        <v/>
      </c>
      <c r="H87">
        <f>G87+3*SQRT(G87*(1-G87/$B$3))</f>
        <v/>
      </c>
      <c r="I87">
        <f>MAX(0,G87-3*SQRT(G87*(1-G87/$B$3)))</f>
        <v/>
      </c>
    </row>
    <row r="88">
      <c r="A88" t="n">
        <v>83</v>
      </c>
      <c r="B88" s="6" t="n"/>
      <c r="C88">
        <f>AVERAGE($B$6:$B$105)</f>
        <v/>
      </c>
      <c r="D88">
        <f>C88+3*SQRT(C88)</f>
        <v/>
      </c>
      <c r="E88">
        <f>MAX(0,C88-3*SQRT(C88))</f>
        <v/>
      </c>
      <c r="F88" s="6" t="n"/>
      <c r="G88">
        <f>AVERAGE($F$6:$F$105)</f>
        <v/>
      </c>
      <c r="H88">
        <f>G88+3*SQRT(G88*(1-G88/$B$3))</f>
        <v/>
      </c>
      <c r="I88">
        <f>MAX(0,G88-3*SQRT(G88*(1-G88/$B$3)))</f>
        <v/>
      </c>
    </row>
    <row r="89">
      <c r="A89" t="n">
        <v>84</v>
      </c>
      <c r="B89" s="6" t="n"/>
      <c r="C89">
        <f>AVERAGE($B$6:$B$105)</f>
        <v/>
      </c>
      <c r="D89">
        <f>C89+3*SQRT(C89)</f>
        <v/>
      </c>
      <c r="E89">
        <f>MAX(0,C89-3*SQRT(C89))</f>
        <v/>
      </c>
      <c r="F89" s="6" t="n"/>
      <c r="G89">
        <f>AVERAGE($F$6:$F$105)</f>
        <v/>
      </c>
      <c r="H89">
        <f>G89+3*SQRT(G89*(1-G89/$B$3))</f>
        <v/>
      </c>
      <c r="I89">
        <f>MAX(0,G89-3*SQRT(G89*(1-G89/$B$3)))</f>
        <v/>
      </c>
    </row>
    <row r="90">
      <c r="A90" t="n">
        <v>85</v>
      </c>
      <c r="B90" s="6" t="n"/>
      <c r="C90">
        <f>AVERAGE($B$6:$B$105)</f>
        <v/>
      </c>
      <c r="D90">
        <f>C90+3*SQRT(C90)</f>
        <v/>
      </c>
      <c r="E90">
        <f>MAX(0,C90-3*SQRT(C90))</f>
        <v/>
      </c>
      <c r="F90" s="6" t="n"/>
      <c r="G90">
        <f>AVERAGE($F$6:$F$105)</f>
        <v/>
      </c>
      <c r="H90">
        <f>G90+3*SQRT(G90*(1-G90/$B$3))</f>
        <v/>
      </c>
      <c r="I90">
        <f>MAX(0,G90-3*SQRT(G90*(1-G90/$B$3)))</f>
        <v/>
      </c>
    </row>
    <row r="91">
      <c r="A91" t="n">
        <v>86</v>
      </c>
      <c r="B91" s="6" t="n"/>
      <c r="C91">
        <f>AVERAGE($B$6:$B$105)</f>
        <v/>
      </c>
      <c r="D91">
        <f>C91+3*SQRT(C91)</f>
        <v/>
      </c>
      <c r="E91">
        <f>MAX(0,C91-3*SQRT(C91))</f>
        <v/>
      </c>
      <c r="F91" s="6" t="n"/>
      <c r="G91">
        <f>AVERAGE($F$6:$F$105)</f>
        <v/>
      </c>
      <c r="H91">
        <f>G91+3*SQRT(G91*(1-G91/$B$3))</f>
        <v/>
      </c>
      <c r="I91">
        <f>MAX(0,G91-3*SQRT(G91*(1-G91/$B$3)))</f>
        <v/>
      </c>
    </row>
    <row r="92">
      <c r="A92" t="n">
        <v>87</v>
      </c>
      <c r="B92" s="6" t="n"/>
      <c r="C92">
        <f>AVERAGE($B$6:$B$105)</f>
        <v/>
      </c>
      <c r="D92">
        <f>C92+3*SQRT(C92)</f>
        <v/>
      </c>
      <c r="E92">
        <f>MAX(0,C92-3*SQRT(C92))</f>
        <v/>
      </c>
      <c r="F92" s="6" t="n"/>
      <c r="G92">
        <f>AVERAGE($F$6:$F$105)</f>
        <v/>
      </c>
      <c r="H92">
        <f>G92+3*SQRT(G92*(1-G92/$B$3))</f>
        <v/>
      </c>
      <c r="I92">
        <f>MAX(0,G92-3*SQRT(G92*(1-G92/$B$3)))</f>
        <v/>
      </c>
    </row>
    <row r="93">
      <c r="A93" t="n">
        <v>88</v>
      </c>
      <c r="B93" s="6" t="n"/>
      <c r="C93">
        <f>AVERAGE($B$6:$B$105)</f>
        <v/>
      </c>
      <c r="D93">
        <f>C93+3*SQRT(C93)</f>
        <v/>
      </c>
      <c r="E93">
        <f>MAX(0,C93-3*SQRT(C93))</f>
        <v/>
      </c>
      <c r="F93" s="6" t="n"/>
      <c r="G93">
        <f>AVERAGE($F$6:$F$105)</f>
        <v/>
      </c>
      <c r="H93">
        <f>G93+3*SQRT(G93*(1-G93/$B$3))</f>
        <v/>
      </c>
      <c r="I93">
        <f>MAX(0,G93-3*SQRT(G93*(1-G93/$B$3)))</f>
        <v/>
      </c>
    </row>
    <row r="94">
      <c r="A94" t="n">
        <v>89</v>
      </c>
      <c r="B94" s="6" t="n"/>
      <c r="C94">
        <f>AVERAGE($B$6:$B$105)</f>
        <v/>
      </c>
      <c r="D94">
        <f>C94+3*SQRT(C94)</f>
        <v/>
      </c>
      <c r="E94">
        <f>MAX(0,C94-3*SQRT(C94))</f>
        <v/>
      </c>
      <c r="F94" s="6" t="n"/>
      <c r="G94">
        <f>AVERAGE($F$6:$F$105)</f>
        <v/>
      </c>
      <c r="H94">
        <f>G94+3*SQRT(G94*(1-G94/$B$3))</f>
        <v/>
      </c>
      <c r="I94">
        <f>MAX(0,G94-3*SQRT(G94*(1-G94/$B$3)))</f>
        <v/>
      </c>
    </row>
    <row r="95">
      <c r="A95" t="n">
        <v>90</v>
      </c>
      <c r="B95" s="6" t="n"/>
      <c r="C95">
        <f>AVERAGE($B$6:$B$105)</f>
        <v/>
      </c>
      <c r="D95">
        <f>C95+3*SQRT(C95)</f>
        <v/>
      </c>
      <c r="E95">
        <f>MAX(0,C95-3*SQRT(C95))</f>
        <v/>
      </c>
      <c r="F95" s="6" t="n"/>
      <c r="G95">
        <f>AVERAGE($F$6:$F$105)</f>
        <v/>
      </c>
      <c r="H95">
        <f>G95+3*SQRT(G95*(1-G95/$B$3))</f>
        <v/>
      </c>
      <c r="I95">
        <f>MAX(0,G95-3*SQRT(G95*(1-G95/$B$3)))</f>
        <v/>
      </c>
    </row>
    <row r="96">
      <c r="A96" t="n">
        <v>91</v>
      </c>
      <c r="B96" s="6" t="n"/>
      <c r="C96">
        <f>AVERAGE($B$6:$B$105)</f>
        <v/>
      </c>
      <c r="D96">
        <f>C96+3*SQRT(C96)</f>
        <v/>
      </c>
      <c r="E96">
        <f>MAX(0,C96-3*SQRT(C96))</f>
        <v/>
      </c>
      <c r="F96" s="6" t="n"/>
      <c r="G96">
        <f>AVERAGE($F$6:$F$105)</f>
        <v/>
      </c>
      <c r="H96">
        <f>G96+3*SQRT(G96*(1-G96/$B$3))</f>
        <v/>
      </c>
      <c r="I96">
        <f>MAX(0,G96-3*SQRT(G96*(1-G96/$B$3)))</f>
        <v/>
      </c>
    </row>
    <row r="97">
      <c r="A97" t="n">
        <v>92</v>
      </c>
      <c r="B97" s="6" t="n"/>
      <c r="C97">
        <f>AVERAGE($B$6:$B$105)</f>
        <v/>
      </c>
      <c r="D97">
        <f>C97+3*SQRT(C97)</f>
        <v/>
      </c>
      <c r="E97">
        <f>MAX(0,C97-3*SQRT(C97))</f>
        <v/>
      </c>
      <c r="F97" s="6" t="n"/>
      <c r="G97">
        <f>AVERAGE($F$6:$F$105)</f>
        <v/>
      </c>
      <c r="H97">
        <f>G97+3*SQRT(G97*(1-G97/$B$3))</f>
        <v/>
      </c>
      <c r="I97">
        <f>MAX(0,G97-3*SQRT(G97*(1-G97/$B$3)))</f>
        <v/>
      </c>
    </row>
    <row r="98">
      <c r="A98" t="n">
        <v>93</v>
      </c>
      <c r="B98" s="6" t="n"/>
      <c r="C98">
        <f>AVERAGE($B$6:$B$105)</f>
        <v/>
      </c>
      <c r="D98">
        <f>C98+3*SQRT(C98)</f>
        <v/>
      </c>
      <c r="E98">
        <f>MAX(0,C98-3*SQRT(C98))</f>
        <v/>
      </c>
      <c r="F98" s="6" t="n"/>
      <c r="G98">
        <f>AVERAGE($F$6:$F$105)</f>
        <v/>
      </c>
      <c r="H98">
        <f>G98+3*SQRT(G98*(1-G98/$B$3))</f>
        <v/>
      </c>
      <c r="I98">
        <f>MAX(0,G98-3*SQRT(G98*(1-G98/$B$3)))</f>
        <v/>
      </c>
    </row>
    <row r="99">
      <c r="A99" t="n">
        <v>94</v>
      </c>
      <c r="B99" s="6" t="n"/>
      <c r="C99">
        <f>AVERAGE($B$6:$B$105)</f>
        <v/>
      </c>
      <c r="D99">
        <f>C99+3*SQRT(C99)</f>
        <v/>
      </c>
      <c r="E99">
        <f>MAX(0,C99-3*SQRT(C99))</f>
        <v/>
      </c>
      <c r="F99" s="6" t="n"/>
      <c r="G99">
        <f>AVERAGE($F$6:$F$105)</f>
        <v/>
      </c>
      <c r="H99">
        <f>G99+3*SQRT(G99*(1-G99/$B$3))</f>
        <v/>
      </c>
      <c r="I99">
        <f>MAX(0,G99-3*SQRT(G99*(1-G99/$B$3)))</f>
        <v/>
      </c>
    </row>
    <row r="100">
      <c r="A100" t="n">
        <v>95</v>
      </c>
      <c r="B100" s="6" t="n"/>
      <c r="C100">
        <f>AVERAGE($B$6:$B$105)</f>
        <v/>
      </c>
      <c r="D100">
        <f>C100+3*SQRT(C100)</f>
        <v/>
      </c>
      <c r="E100">
        <f>MAX(0,C100-3*SQRT(C100))</f>
        <v/>
      </c>
      <c r="F100" s="6" t="n"/>
      <c r="G100">
        <f>AVERAGE($F$6:$F$105)</f>
        <v/>
      </c>
      <c r="H100">
        <f>G100+3*SQRT(G100*(1-G100/$B$3))</f>
        <v/>
      </c>
      <c r="I100">
        <f>MAX(0,G100-3*SQRT(G100*(1-G100/$B$3)))</f>
        <v/>
      </c>
    </row>
    <row r="101">
      <c r="A101" t="n">
        <v>96</v>
      </c>
      <c r="B101" s="6" t="n"/>
      <c r="C101">
        <f>AVERAGE($B$6:$B$105)</f>
        <v/>
      </c>
      <c r="D101">
        <f>C101+3*SQRT(C101)</f>
        <v/>
      </c>
      <c r="E101">
        <f>MAX(0,C101-3*SQRT(C101))</f>
        <v/>
      </c>
      <c r="F101" s="6" t="n"/>
      <c r="G101">
        <f>AVERAGE($F$6:$F$105)</f>
        <v/>
      </c>
      <c r="H101">
        <f>G101+3*SQRT(G101*(1-G101/$B$3))</f>
        <v/>
      </c>
      <c r="I101">
        <f>MAX(0,G101-3*SQRT(G101*(1-G101/$B$3)))</f>
        <v/>
      </c>
    </row>
    <row r="102">
      <c r="A102" t="n">
        <v>97</v>
      </c>
      <c r="B102" s="6" t="n"/>
      <c r="C102">
        <f>AVERAGE($B$6:$B$105)</f>
        <v/>
      </c>
      <c r="D102">
        <f>C102+3*SQRT(C102)</f>
        <v/>
      </c>
      <c r="E102">
        <f>MAX(0,C102-3*SQRT(C102))</f>
        <v/>
      </c>
      <c r="F102" s="6" t="n"/>
      <c r="G102">
        <f>AVERAGE($F$6:$F$105)</f>
        <v/>
      </c>
      <c r="H102">
        <f>G102+3*SQRT(G102*(1-G102/$B$3))</f>
        <v/>
      </c>
      <c r="I102">
        <f>MAX(0,G102-3*SQRT(G102*(1-G102/$B$3)))</f>
        <v/>
      </c>
    </row>
    <row r="103">
      <c r="A103" t="n">
        <v>98</v>
      </c>
      <c r="B103" s="6" t="n"/>
      <c r="C103">
        <f>AVERAGE($B$6:$B$105)</f>
        <v/>
      </c>
      <c r="D103">
        <f>C103+3*SQRT(C103)</f>
        <v/>
      </c>
      <c r="E103">
        <f>MAX(0,C103-3*SQRT(C103))</f>
        <v/>
      </c>
      <c r="F103" s="6" t="n"/>
      <c r="G103">
        <f>AVERAGE($F$6:$F$105)</f>
        <v/>
      </c>
      <c r="H103">
        <f>G103+3*SQRT(G103*(1-G103/$B$3))</f>
        <v/>
      </c>
      <c r="I103">
        <f>MAX(0,G103-3*SQRT(G103*(1-G103/$B$3)))</f>
        <v/>
      </c>
    </row>
    <row r="104">
      <c r="A104" t="n">
        <v>99</v>
      </c>
      <c r="B104" s="6" t="n"/>
      <c r="C104">
        <f>AVERAGE($B$6:$B$105)</f>
        <v/>
      </c>
      <c r="D104">
        <f>C104+3*SQRT(C104)</f>
        <v/>
      </c>
      <c r="E104">
        <f>MAX(0,C104-3*SQRT(C104))</f>
        <v/>
      </c>
      <c r="F104" s="6" t="n"/>
      <c r="G104">
        <f>AVERAGE($F$6:$F$105)</f>
        <v/>
      </c>
      <c r="H104">
        <f>G104+3*SQRT(G104*(1-G104/$B$3))</f>
        <v/>
      </c>
      <c r="I104">
        <f>MAX(0,G104-3*SQRT(G104*(1-G104/$B$3)))</f>
        <v/>
      </c>
    </row>
    <row r="105">
      <c r="A105" t="n">
        <v>100</v>
      </c>
      <c r="B105" s="6" t="n"/>
      <c r="C105">
        <f>AVERAGE($B$6:$B$105)</f>
        <v/>
      </c>
      <c r="D105">
        <f>C105+3*SQRT(C105)</f>
        <v/>
      </c>
      <c r="E105">
        <f>MAX(0,C105-3*SQRT(C105))</f>
        <v/>
      </c>
      <c r="F105" s="6" t="n"/>
      <c r="G105">
        <f>AVERAGE($F$6:$F$105)</f>
        <v/>
      </c>
      <c r="H105">
        <f>G105+3*SQRT(G105*(1-G105/$B$3))</f>
        <v/>
      </c>
      <c r="I105">
        <f>MAX(0,G105-3*SQRT(G105*(1-G105/$B$3)))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2026-10-29T18:08:10Z</dcterms:created>
  <dcterms:modified xmlns:dcterms="http://purl.org/dc/terms/" xmlns:xsi="http://www.w3.org/2001/XMLSchema-instance" xsi:type="dcterms:W3CDTF">2026-10-29T18:08:10Z</dcterms:modified>
</cp:coreProperties>
</file>