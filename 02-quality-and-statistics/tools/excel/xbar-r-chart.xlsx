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ar-R" sheetId="1" state="visible" r:id="rId1"/>
    <sheet xmlns:r="http://schemas.openxmlformats.org/officeDocument/2006/relationships" name="Const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64" fontId="0" fillId="4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X-bar chart</a:t>
            </a:r>
          </a:p>
        </rich>
      </tx>
    </title>
    <plotArea>
      <lineChart>
        <grouping val="standard"/>
        <ser>
          <idx val="0"/>
          <order val="0"/>
          <tx>
            <strRef>
              <f>'Xbar-R'!M5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'Xbar-R'!$A$6:$A$30</f>
            </numRef>
          </cat>
          <val>
            <numRef>
              <f>'Xbar-R'!$M$6:$M$30</f>
            </numRef>
          </val>
          <smooth val="0"/>
        </ser>
        <ser>
          <idx val="1"/>
          <order val="1"/>
          <tx>
            <strRef>
              <f>'Xbar-R'!O5</f>
            </strRef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'Xbar-R'!$A$6:$A$30</f>
            </numRef>
          </cat>
          <val>
            <numRef>
              <f>'Xbar-R'!$O$6:$O$30</f>
            </numRef>
          </val>
          <smooth val="0"/>
        </ser>
        <ser>
          <idx val="2"/>
          <order val="2"/>
          <tx>
            <strRef>
              <f>'Xbar-R'!P5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'Xbar-R'!$A$6:$A$30</f>
            </numRef>
          </cat>
          <val>
            <numRef>
              <f>'Xbar-R'!$P$6:$P$30</f>
            </numRef>
          </val>
          <smooth val="0"/>
        </ser>
        <ser>
          <idx val="3"/>
          <order val="3"/>
          <tx>
            <strRef>
              <f>'Xbar-R'!Q5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'Xbar-R'!$A$6:$A$30</f>
            </numRef>
          </cat>
          <val>
            <numRef>
              <f>'Xbar-R'!$Q$6:$Q$30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Subgroup mean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Range chart</a:t>
            </a:r>
          </a:p>
        </rich>
      </tx>
    </title>
    <plotArea>
      <lineChart>
        <grouping val="standard"/>
        <ser>
          <idx val="0"/>
          <order val="0"/>
          <tx>
            <strRef>
              <f>'Xbar-R'!N5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'Xbar-R'!$A$6:$A$30</f>
            </numRef>
          </cat>
          <val>
            <numRef>
              <f>'Xbar-R'!$N$6:$N$30</f>
            </numRef>
          </val>
          <smooth val="0"/>
        </ser>
        <ser>
          <idx val="1"/>
          <order val="1"/>
          <tx>
            <strRef>
              <f>'Xbar-R'!R5</f>
            </strRef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'Xbar-R'!$A$6:$A$30</f>
            </numRef>
          </cat>
          <val>
            <numRef>
              <f>'Xbar-R'!$R$6:$R$30</f>
            </numRef>
          </val>
          <smooth val="0"/>
        </ser>
        <ser>
          <idx val="2"/>
          <order val="2"/>
          <tx>
            <strRef>
              <f>'Xbar-R'!S5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'Xbar-R'!$A$6:$A$30</f>
            </numRef>
          </cat>
          <val>
            <numRef>
              <f>'Xbar-R'!$S$6:$S$30</f>
            </numRef>
          </val>
          <smooth val="0"/>
        </ser>
        <ser>
          <idx val="3"/>
          <order val="3"/>
          <tx>
            <strRef>
              <f>'Xbar-R'!T5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'Xbar-R'!$A$6:$A$30</f>
            </numRef>
          </cat>
          <val>
            <numRef>
              <f>'Xbar-R'!$T$6:$T$30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22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X-bar and R Chart</t>
        </is>
      </c>
    </row>
    <row r="2">
      <c r="A2" s="2" t="inlineStr">
        <is>
          <t>Enter up to 50 subgroups of equal size (2 to 10) in columns B to K. The subgroup size is taken from row 6.</t>
        </is>
      </c>
      <c r="B2" s="3" t="inlineStr">
        <is>
          <t>n</t>
        </is>
      </c>
      <c r="C2" s="3" t="inlineStr">
        <is>
          <t>X-dbar</t>
        </is>
      </c>
      <c r="D2" s="3" t="inlineStr">
        <is>
          <t>R-bar</t>
        </is>
      </c>
      <c r="E2" s="3" t="inlineStr">
        <is>
          <t>A2</t>
        </is>
      </c>
      <c r="F2" s="3" t="inlineStr">
        <is>
          <t>D3</t>
        </is>
      </c>
      <c r="G2" s="3" t="inlineStr">
        <is>
          <t>D4</t>
        </is>
      </c>
      <c r="H2" s="3" t="inlineStr">
        <is>
          <t>d2</t>
        </is>
      </c>
      <c r="I2" s="3" t="inlineStr">
        <is>
          <t>Sigma within</t>
        </is>
      </c>
    </row>
    <row r="3">
      <c r="B3" s="4">
        <f>L6</f>
        <v/>
      </c>
      <c r="C3" s="4">
        <f>AVERAGEIF(L6:L55,"&gt;0",M6:M55)</f>
        <v/>
      </c>
      <c r="D3" s="4">
        <f>AVERAGEIF(L6:L55,"&gt;0",N6:N55)</f>
        <v/>
      </c>
      <c r="E3" s="4">
        <f>VLOOKUP($B$3,Constants!$A$2:$H$10,2,FALSE)</f>
        <v/>
      </c>
      <c r="F3" s="4">
        <f>VLOOKUP($B$3,Constants!$A$2:$H$10,3,FALSE)</f>
        <v/>
      </c>
      <c r="G3" s="4">
        <f>VLOOKUP($B$3,Constants!$A$2:$H$10,4,FALSE)</f>
        <v/>
      </c>
      <c r="H3" s="4">
        <f>VLOOKUP($B$3,Constants!$A$2:$H$10,5,FALSE)</f>
        <v/>
      </c>
      <c r="I3" s="4">
        <f>D3/H3</f>
        <v/>
      </c>
    </row>
    <row r="5">
      <c r="A5" s="3" t="inlineStr">
        <is>
          <t>Subgroup</t>
        </is>
      </c>
      <c r="B5" s="3" t="inlineStr">
        <is>
          <t>x1</t>
        </is>
      </c>
      <c r="C5" s="3" t="inlineStr">
        <is>
          <t>x2</t>
        </is>
      </c>
      <c r="D5" s="3" t="inlineStr">
        <is>
          <t>x3</t>
        </is>
      </c>
      <c r="E5" s="3" t="inlineStr">
        <is>
          <t>x4</t>
        </is>
      </c>
      <c r="F5" s="3" t="inlineStr">
        <is>
          <t>x5</t>
        </is>
      </c>
      <c r="G5" s="3" t="inlineStr">
        <is>
          <t>x6</t>
        </is>
      </c>
      <c r="H5" s="3" t="inlineStr">
        <is>
          <t>x7</t>
        </is>
      </c>
      <c r="I5" s="3" t="inlineStr">
        <is>
          <t>x8</t>
        </is>
      </c>
      <c r="J5" s="3" t="inlineStr">
        <is>
          <t>x9</t>
        </is>
      </c>
      <c r="K5" s="3" t="inlineStr">
        <is>
          <t>x10</t>
        </is>
      </c>
      <c r="L5" s="3" t="inlineStr">
        <is>
          <t>n</t>
        </is>
      </c>
      <c r="M5" s="3" t="inlineStr">
        <is>
          <t>Mean</t>
        </is>
      </c>
      <c r="N5" s="3" t="inlineStr">
        <is>
          <t>Range</t>
        </is>
      </c>
      <c r="O5" s="3" t="inlineStr">
        <is>
          <t>X-dbar</t>
        </is>
      </c>
      <c r="P5" s="3" t="inlineStr">
        <is>
          <t>UCL X</t>
        </is>
      </c>
      <c r="Q5" s="3" t="inlineStr">
        <is>
          <t>LCL X</t>
        </is>
      </c>
      <c r="R5" s="3" t="inlineStr">
        <is>
          <t>R-bar</t>
        </is>
      </c>
      <c r="S5" s="3" t="inlineStr">
        <is>
          <t>UCL R</t>
        </is>
      </c>
      <c r="T5" s="3" t="inlineStr">
        <is>
          <t>LCL R</t>
        </is>
      </c>
      <c r="U5" s="3" t="inlineStr">
        <is>
          <t>Signal</t>
        </is>
      </c>
    </row>
    <row r="6">
      <c r="A6" t="n">
        <v>1</v>
      </c>
      <c r="B6" s="5" t="n">
        <v>9.972099999999999</v>
      </c>
      <c r="C6" s="5" t="n">
        <v>9.9636</v>
      </c>
      <c r="D6" s="5" t="n">
        <v>10.0188</v>
      </c>
      <c r="E6" s="5" t="n">
        <v>9.983599999999999</v>
      </c>
      <c r="F6" s="5" t="n">
        <v>10.0155</v>
      </c>
      <c r="G6" s="5" t="n"/>
      <c r="H6" s="5" t="n"/>
      <c r="I6" s="5" t="n"/>
      <c r="J6" s="5" t="n"/>
      <c r="K6" s="5" t="n"/>
      <c r="L6">
        <f>COUNT(B6:K6)</f>
        <v/>
      </c>
      <c r="M6" s="6">
        <f>IF(L6&gt;0,AVERAGE(B6:K6),NA())</f>
        <v/>
      </c>
      <c r="N6" s="6">
        <f>IF(L6&gt;0,MAX(B6:K6)-MIN(B6:K6),NA())</f>
        <v/>
      </c>
      <c r="O6" s="6">
        <f>$C$3</f>
        <v/>
      </c>
      <c r="P6" s="6">
        <f>$C$3+$E$3*$D$3</f>
        <v/>
      </c>
      <c r="Q6" s="6">
        <f>$C$3-$E$3*$D$3</f>
        <v/>
      </c>
      <c r="R6" s="6">
        <f>$D$3</f>
        <v/>
      </c>
      <c r="S6" s="6">
        <f>$G$3*$D$3</f>
        <v/>
      </c>
      <c r="T6" s="6">
        <f>$F$3*$D$3</f>
        <v/>
      </c>
      <c r="U6">
        <f>IF(L6&gt;0,IF(OR(M6&gt;P6,M6&lt;Q6,N6&gt;S6),"OUT",""),"")</f>
        <v/>
      </c>
    </row>
    <row r="7">
      <c r="A7" t="n">
        <v>2</v>
      </c>
      <c r="B7" s="5" t="n">
        <v>10.019</v>
      </c>
      <c r="C7" s="5" t="n">
        <v>10.0081</v>
      </c>
      <c r="D7" s="5" t="n">
        <v>9.9871</v>
      </c>
      <c r="E7" s="5" t="n">
        <v>9.974600000000001</v>
      </c>
      <c r="F7" s="5" t="n">
        <v>10.0368</v>
      </c>
      <c r="G7" s="5" t="n"/>
      <c r="H7" s="5" t="n"/>
      <c r="I7" s="5" t="n"/>
      <c r="J7" s="5" t="n"/>
      <c r="K7" s="5" t="n"/>
      <c r="L7">
        <f>COUNT(B7:K7)</f>
        <v/>
      </c>
      <c r="M7" s="6">
        <f>IF(L7&gt;0,AVERAGE(B7:K7),NA())</f>
        <v/>
      </c>
      <c r="N7" s="6">
        <f>IF(L7&gt;0,MAX(B7:K7)-MIN(B7:K7),NA())</f>
        <v/>
      </c>
      <c r="O7" s="6">
        <f>$C$3</f>
        <v/>
      </c>
      <c r="P7" s="6">
        <f>$C$3+$E$3*$D$3</f>
        <v/>
      </c>
      <c r="Q7" s="6">
        <f>$C$3-$E$3*$D$3</f>
        <v/>
      </c>
      <c r="R7" s="6">
        <f>$D$3</f>
        <v/>
      </c>
      <c r="S7" s="6">
        <f>$G$3*$D$3</f>
        <v/>
      </c>
      <c r="T7" s="6">
        <f>$F$3*$D$3</f>
        <v/>
      </c>
      <c r="U7">
        <f>IF(L7&gt;0,IF(OR(M7&gt;P7,M7&lt;Q7,N7&gt;S7),"OUT",""),"")</f>
        <v/>
      </c>
    </row>
    <row r="8">
      <c r="A8" t="n">
        <v>3</v>
      </c>
      <c r="B8" s="5" t="n">
        <v>9.934699999999999</v>
      </c>
      <c r="C8" s="5" t="n">
        <v>10.0009</v>
      </c>
      <c r="D8" s="5" t="n">
        <v>9.9709</v>
      </c>
      <c r="E8" s="5" t="n">
        <v>9.9681</v>
      </c>
      <c r="F8" s="5" t="n">
        <v>9.992699999999999</v>
      </c>
      <c r="G8" s="5" t="n"/>
      <c r="H8" s="5" t="n"/>
      <c r="I8" s="5" t="n"/>
      <c r="J8" s="5" t="n"/>
      <c r="K8" s="5" t="n"/>
      <c r="L8">
        <f>COUNT(B8:K8)</f>
        <v/>
      </c>
      <c r="M8" s="6">
        <f>IF(L8&gt;0,AVERAGE(B8:K8),NA())</f>
        <v/>
      </c>
      <c r="N8" s="6">
        <f>IF(L8&gt;0,MAX(B8:K8)-MIN(B8:K8),NA())</f>
        <v/>
      </c>
      <c r="O8" s="6">
        <f>$C$3</f>
        <v/>
      </c>
      <c r="P8" s="6">
        <f>$C$3+$E$3*$D$3</f>
        <v/>
      </c>
      <c r="Q8" s="6">
        <f>$C$3-$E$3*$D$3</f>
        <v/>
      </c>
      <c r="R8" s="6">
        <f>$D$3</f>
        <v/>
      </c>
      <c r="S8" s="6">
        <f>$G$3*$D$3</f>
        <v/>
      </c>
      <c r="T8" s="6">
        <f>$F$3*$D$3</f>
        <v/>
      </c>
      <c r="U8">
        <f>IF(L8&gt;0,IF(OR(M8&gt;P8,M8&lt;Q8,N8&gt;S8),"OUT",""),"")</f>
        <v/>
      </c>
    </row>
    <row r="9">
      <c r="A9" t="n">
        <v>4</v>
      </c>
      <c r="B9" s="5" t="n">
        <v>9.995900000000001</v>
      </c>
      <c r="C9" s="5" t="n">
        <v>10.0566</v>
      </c>
      <c r="D9" s="5" t="n">
        <v>10.0284</v>
      </c>
      <c r="E9" s="5" t="n">
        <v>10.0095</v>
      </c>
      <c r="F9" s="5" t="n">
        <v>9.9435</v>
      </c>
      <c r="G9" s="5" t="n"/>
      <c r="H9" s="5" t="n"/>
      <c r="I9" s="5" t="n"/>
      <c r="J9" s="5" t="n"/>
      <c r="K9" s="5" t="n"/>
      <c r="L9">
        <f>COUNT(B9:K9)</f>
        <v/>
      </c>
      <c r="M9" s="6">
        <f>IF(L9&gt;0,AVERAGE(B9:K9),NA())</f>
        <v/>
      </c>
      <c r="N9" s="6">
        <f>IF(L9&gt;0,MAX(B9:K9)-MIN(B9:K9),NA())</f>
        <v/>
      </c>
      <c r="O9" s="6">
        <f>$C$3</f>
        <v/>
      </c>
      <c r="P9" s="6">
        <f>$C$3+$E$3*$D$3</f>
        <v/>
      </c>
      <c r="Q9" s="6">
        <f>$C$3-$E$3*$D$3</f>
        <v/>
      </c>
      <c r="R9" s="6">
        <f>$D$3</f>
        <v/>
      </c>
      <c r="S9" s="6">
        <f>$G$3*$D$3</f>
        <v/>
      </c>
      <c r="T9" s="6">
        <f>$F$3*$D$3</f>
        <v/>
      </c>
      <c r="U9">
        <f>IF(L9&gt;0,IF(OR(M9&gt;P9,M9&lt;Q9,N9&gt;S9),"OUT",""),"")</f>
        <v/>
      </c>
    </row>
    <row r="10">
      <c r="A10" t="n">
        <v>5</v>
      </c>
      <c r="B10" s="5" t="n">
        <v>9.9762</v>
      </c>
      <c r="C10" s="5" t="n">
        <v>10.0584</v>
      </c>
      <c r="D10" s="5" t="n">
        <v>10.0258</v>
      </c>
      <c r="E10" s="5" t="n">
        <v>9.967499999999999</v>
      </c>
      <c r="F10" s="5" t="n">
        <v>9.9885</v>
      </c>
      <c r="G10" s="5" t="n"/>
      <c r="H10" s="5" t="n"/>
      <c r="I10" s="5" t="n"/>
      <c r="J10" s="5" t="n"/>
      <c r="K10" s="5" t="n"/>
      <c r="L10">
        <f>COUNT(B10:K10)</f>
        <v/>
      </c>
      <c r="M10" s="6">
        <f>IF(L10&gt;0,AVERAGE(B10:K10),NA())</f>
        <v/>
      </c>
      <c r="N10" s="6">
        <f>IF(L10&gt;0,MAX(B10:K10)-MIN(B10:K10),NA())</f>
        <v/>
      </c>
      <c r="O10" s="6">
        <f>$C$3</f>
        <v/>
      </c>
      <c r="P10" s="6">
        <f>$C$3+$E$3*$D$3</f>
        <v/>
      </c>
      <c r="Q10" s="6">
        <f>$C$3-$E$3*$D$3</f>
        <v/>
      </c>
      <c r="R10" s="6">
        <f>$D$3</f>
        <v/>
      </c>
      <c r="S10" s="6">
        <f>$G$3*$D$3</f>
        <v/>
      </c>
      <c r="T10" s="6">
        <f>$F$3*$D$3</f>
        <v/>
      </c>
      <c r="U10">
        <f>IF(L10&gt;0,IF(OR(M10&gt;P10,M10&lt;Q10,N10&gt;S10),"OUT",""),"")</f>
        <v/>
      </c>
    </row>
    <row r="11">
      <c r="A11" t="n">
        <v>6</v>
      </c>
      <c r="B11" s="5" t="n">
        <v>10.0028</v>
      </c>
      <c r="C11" s="5" t="n">
        <v>10.0324</v>
      </c>
      <c r="D11" s="5" t="n">
        <v>10.0014</v>
      </c>
      <c r="E11" s="5" t="n">
        <v>10.0308</v>
      </c>
      <c r="F11" s="5" t="n">
        <v>9.968</v>
      </c>
      <c r="G11" s="5" t="n"/>
      <c r="H11" s="5" t="n"/>
      <c r="I11" s="5" t="n"/>
      <c r="J11" s="5" t="n"/>
      <c r="K11" s="5" t="n"/>
      <c r="L11">
        <f>COUNT(B11:K11)</f>
        <v/>
      </c>
      <c r="M11" s="6">
        <f>IF(L11&gt;0,AVERAGE(B11:K11),NA())</f>
        <v/>
      </c>
      <c r="N11" s="6">
        <f>IF(L11&gt;0,MAX(B11:K11)-MIN(B11:K11),NA())</f>
        <v/>
      </c>
      <c r="O11" s="6">
        <f>$C$3</f>
        <v/>
      </c>
      <c r="P11" s="6">
        <f>$C$3+$E$3*$D$3</f>
        <v/>
      </c>
      <c r="Q11" s="6">
        <f>$C$3-$E$3*$D$3</f>
        <v/>
      </c>
      <c r="R11" s="6">
        <f>$D$3</f>
        <v/>
      </c>
      <c r="S11" s="6">
        <f>$G$3*$D$3</f>
        <v/>
      </c>
      <c r="T11" s="6">
        <f>$F$3*$D$3</f>
        <v/>
      </c>
      <c r="U11">
        <f>IF(L11&gt;0,IF(OR(M11&gt;P11,M11&lt;Q11,N11&gt;S11),"OUT",""),"")</f>
        <v/>
      </c>
    </row>
    <row r="12">
      <c r="A12" t="n">
        <v>7</v>
      </c>
      <c r="B12" s="5" t="n">
        <v>9.9847</v>
      </c>
      <c r="C12" s="5" t="n">
        <v>9.970800000000001</v>
      </c>
      <c r="D12" s="5" t="n">
        <v>9.9862</v>
      </c>
      <c r="E12" s="5" t="n">
        <v>9.9945</v>
      </c>
      <c r="F12" s="5" t="n">
        <v>9.9986</v>
      </c>
      <c r="G12" s="5" t="n"/>
      <c r="H12" s="5" t="n"/>
      <c r="I12" s="5" t="n"/>
      <c r="J12" s="5" t="n"/>
      <c r="K12" s="5" t="n"/>
      <c r="L12">
        <f>COUNT(B12:K12)</f>
        <v/>
      </c>
      <c r="M12" s="6">
        <f>IF(L12&gt;0,AVERAGE(B12:K12),NA())</f>
        <v/>
      </c>
      <c r="N12" s="6">
        <f>IF(L12&gt;0,MAX(B12:K12)-MIN(B12:K12),NA())</f>
        <v/>
      </c>
      <c r="O12" s="6">
        <f>$C$3</f>
        <v/>
      </c>
      <c r="P12" s="6">
        <f>$C$3+$E$3*$D$3</f>
        <v/>
      </c>
      <c r="Q12" s="6">
        <f>$C$3-$E$3*$D$3</f>
        <v/>
      </c>
      <c r="R12" s="6">
        <f>$D$3</f>
        <v/>
      </c>
      <c r="S12" s="6">
        <f>$G$3*$D$3</f>
        <v/>
      </c>
      <c r="T12" s="6">
        <f>$F$3*$D$3</f>
        <v/>
      </c>
      <c r="U12">
        <f>IF(L12&gt;0,IF(OR(M12&gt;P12,M12&lt;Q12,N12&gt;S12),"OUT",""),"")</f>
        <v/>
      </c>
    </row>
    <row r="13">
      <c r="A13" t="n">
        <v>8</v>
      </c>
      <c r="B13" s="5" t="n">
        <v>9.971500000000001</v>
      </c>
      <c r="C13" s="5" t="n">
        <v>9.980399999999999</v>
      </c>
      <c r="D13" s="5" t="n">
        <v>9.9939</v>
      </c>
      <c r="E13" s="5" t="n">
        <v>10.0331</v>
      </c>
      <c r="F13" s="5" t="n">
        <v>10.0253</v>
      </c>
      <c r="G13" s="5" t="n"/>
      <c r="H13" s="5" t="n"/>
      <c r="I13" s="5" t="n"/>
      <c r="J13" s="5" t="n"/>
      <c r="K13" s="5" t="n"/>
      <c r="L13">
        <f>COUNT(B13:K13)</f>
        <v/>
      </c>
      <c r="M13" s="6">
        <f>IF(L13&gt;0,AVERAGE(B13:K13),NA())</f>
        <v/>
      </c>
      <c r="N13" s="6">
        <f>IF(L13&gt;0,MAX(B13:K13)-MIN(B13:K13),NA())</f>
        <v/>
      </c>
      <c r="O13" s="6">
        <f>$C$3</f>
        <v/>
      </c>
      <c r="P13" s="6">
        <f>$C$3+$E$3*$D$3</f>
        <v/>
      </c>
      <c r="Q13" s="6">
        <f>$C$3-$E$3*$D$3</f>
        <v/>
      </c>
      <c r="R13" s="6">
        <f>$D$3</f>
        <v/>
      </c>
      <c r="S13" s="6">
        <f>$G$3*$D$3</f>
        <v/>
      </c>
      <c r="T13" s="6">
        <f>$F$3*$D$3</f>
        <v/>
      </c>
      <c r="U13">
        <f>IF(L13&gt;0,IF(OR(M13&gt;P13,M13&lt;Q13,N13&gt;S13),"OUT",""),"")</f>
        <v/>
      </c>
    </row>
    <row r="14">
      <c r="A14" t="n">
        <v>9</v>
      </c>
      <c r="B14" s="5" t="n">
        <v>10.0547</v>
      </c>
      <c r="C14" s="5" t="n">
        <v>10.0294</v>
      </c>
      <c r="D14" s="5" t="n">
        <v>9.9756</v>
      </c>
      <c r="E14" s="5" t="n">
        <v>10.0065</v>
      </c>
      <c r="F14" s="5" t="n">
        <v>9.9838</v>
      </c>
      <c r="G14" s="5" t="n"/>
      <c r="H14" s="5" t="n"/>
      <c r="I14" s="5" t="n"/>
      <c r="J14" s="5" t="n"/>
      <c r="K14" s="5" t="n"/>
      <c r="L14">
        <f>COUNT(B14:K14)</f>
        <v/>
      </c>
      <c r="M14" s="6">
        <f>IF(L14&gt;0,AVERAGE(B14:K14),NA())</f>
        <v/>
      </c>
      <c r="N14" s="6">
        <f>IF(L14&gt;0,MAX(B14:K14)-MIN(B14:K14),NA())</f>
        <v/>
      </c>
      <c r="O14" s="6">
        <f>$C$3</f>
        <v/>
      </c>
      <c r="P14" s="6">
        <f>$C$3+$E$3*$D$3</f>
        <v/>
      </c>
      <c r="Q14" s="6">
        <f>$C$3-$E$3*$D$3</f>
        <v/>
      </c>
      <c r="R14" s="6">
        <f>$D$3</f>
        <v/>
      </c>
      <c r="S14" s="6">
        <f>$G$3*$D$3</f>
        <v/>
      </c>
      <c r="T14" s="6">
        <f>$F$3*$D$3</f>
        <v/>
      </c>
      <c r="U14">
        <f>IF(L14&gt;0,IF(OR(M14&gt;P14,M14&lt;Q14,N14&gt;S14),"OUT",""),"")</f>
        <v/>
      </c>
    </row>
    <row r="15">
      <c r="A15" t="n">
        <v>10</v>
      </c>
      <c r="B15" s="5" t="n">
        <v>10.0007</v>
      </c>
      <c r="C15" s="5" t="n">
        <v>9.953900000000001</v>
      </c>
      <c r="D15" s="5" t="n">
        <v>9.9931</v>
      </c>
      <c r="E15" s="5" t="n">
        <v>9.9955</v>
      </c>
      <c r="F15" s="5" t="n">
        <v>9.942299999999999</v>
      </c>
      <c r="G15" s="5" t="n"/>
      <c r="H15" s="5" t="n"/>
      <c r="I15" s="5" t="n"/>
      <c r="J15" s="5" t="n"/>
      <c r="K15" s="5" t="n"/>
      <c r="L15">
        <f>COUNT(B15:K15)</f>
        <v/>
      </c>
      <c r="M15" s="6">
        <f>IF(L15&gt;0,AVERAGE(B15:K15),NA())</f>
        <v/>
      </c>
      <c r="N15" s="6">
        <f>IF(L15&gt;0,MAX(B15:K15)-MIN(B15:K15),NA())</f>
        <v/>
      </c>
      <c r="O15" s="6">
        <f>$C$3</f>
        <v/>
      </c>
      <c r="P15" s="6">
        <f>$C$3+$E$3*$D$3</f>
        <v/>
      </c>
      <c r="Q15" s="6">
        <f>$C$3-$E$3*$D$3</f>
        <v/>
      </c>
      <c r="R15" s="6">
        <f>$D$3</f>
        <v/>
      </c>
      <c r="S15" s="6">
        <f>$G$3*$D$3</f>
        <v/>
      </c>
      <c r="T15" s="6">
        <f>$F$3*$D$3</f>
        <v/>
      </c>
      <c r="U15">
        <f>IF(L15&gt;0,IF(OR(M15&gt;P15,M15&lt;Q15,N15&gt;S15),"OUT",""),"")</f>
        <v/>
      </c>
    </row>
    <row r="16">
      <c r="A16" t="n">
        <v>11</v>
      </c>
      <c r="B16" s="5" t="n">
        <v>9.988</v>
      </c>
      <c r="C16" s="5" t="n">
        <v>9.9855</v>
      </c>
      <c r="D16" s="5" t="n">
        <v>9.9833</v>
      </c>
      <c r="E16" s="5" t="n">
        <v>10.0099</v>
      </c>
      <c r="F16" s="5" t="n">
        <v>10.023</v>
      </c>
      <c r="G16" s="5" t="n"/>
      <c r="H16" s="5" t="n"/>
      <c r="I16" s="5" t="n"/>
      <c r="J16" s="5" t="n"/>
      <c r="K16" s="5" t="n"/>
      <c r="L16">
        <f>COUNT(B16:K16)</f>
        <v/>
      </c>
      <c r="M16" s="6">
        <f>IF(L16&gt;0,AVERAGE(B16:K16),NA())</f>
        <v/>
      </c>
      <c r="N16" s="6">
        <f>IF(L16&gt;0,MAX(B16:K16)-MIN(B16:K16),NA())</f>
        <v/>
      </c>
      <c r="O16" s="6">
        <f>$C$3</f>
        <v/>
      </c>
      <c r="P16" s="6">
        <f>$C$3+$E$3*$D$3</f>
        <v/>
      </c>
      <c r="Q16" s="6">
        <f>$C$3-$E$3*$D$3</f>
        <v/>
      </c>
      <c r="R16" s="6">
        <f>$D$3</f>
        <v/>
      </c>
      <c r="S16" s="6">
        <f>$G$3*$D$3</f>
        <v/>
      </c>
      <c r="T16" s="6">
        <f>$F$3*$D$3</f>
        <v/>
      </c>
      <c r="U16">
        <f>IF(L16&gt;0,IF(OR(M16&gt;P16,M16&lt;Q16,N16&gt;S16),"OUT",""),"")</f>
        <v/>
      </c>
    </row>
    <row r="17">
      <c r="A17" t="n">
        <v>12</v>
      </c>
      <c r="B17" s="5" t="n">
        <v>10.0401</v>
      </c>
      <c r="C17" s="5" t="n">
        <v>10.0088</v>
      </c>
      <c r="D17" s="5" t="n">
        <v>9.9673</v>
      </c>
      <c r="E17" s="5" t="n">
        <v>10.0248</v>
      </c>
      <c r="F17" s="5" t="n">
        <v>10.0088</v>
      </c>
      <c r="G17" s="5" t="n"/>
      <c r="H17" s="5" t="n"/>
      <c r="I17" s="5" t="n"/>
      <c r="J17" s="5" t="n"/>
      <c r="K17" s="5" t="n"/>
      <c r="L17">
        <f>COUNT(B17:K17)</f>
        <v/>
      </c>
      <c r="M17" s="6">
        <f>IF(L17&gt;0,AVERAGE(B17:K17),NA())</f>
        <v/>
      </c>
      <c r="N17" s="6">
        <f>IF(L17&gt;0,MAX(B17:K17)-MIN(B17:K17),NA())</f>
        <v/>
      </c>
      <c r="O17" s="6">
        <f>$C$3</f>
        <v/>
      </c>
      <c r="P17" s="6">
        <f>$C$3+$E$3*$D$3</f>
        <v/>
      </c>
      <c r="Q17" s="6">
        <f>$C$3-$E$3*$D$3</f>
        <v/>
      </c>
      <c r="R17" s="6">
        <f>$D$3</f>
        <v/>
      </c>
      <c r="S17" s="6">
        <f>$G$3*$D$3</f>
        <v/>
      </c>
      <c r="T17" s="6">
        <f>$F$3*$D$3</f>
        <v/>
      </c>
      <c r="U17">
        <f>IF(L17&gt;0,IF(OR(M17&gt;P17,M17&lt;Q17,N17&gt;S17),"OUT",""),"")</f>
        <v/>
      </c>
    </row>
    <row r="18">
      <c r="A18" t="n">
        <v>13</v>
      </c>
      <c r="B18" s="5" t="n">
        <v>10.0946</v>
      </c>
      <c r="C18" s="5" t="n">
        <v>10.0349</v>
      </c>
      <c r="D18" s="5" t="n">
        <v>10.0377</v>
      </c>
      <c r="E18" s="5" t="n">
        <v>9.9978</v>
      </c>
      <c r="F18" s="5" t="n">
        <v>10.0252</v>
      </c>
      <c r="G18" s="5" t="n"/>
      <c r="H18" s="5" t="n"/>
      <c r="I18" s="5" t="n"/>
      <c r="J18" s="5" t="n"/>
      <c r="K18" s="5" t="n"/>
      <c r="L18">
        <f>COUNT(B18:K18)</f>
        <v/>
      </c>
      <c r="M18" s="6">
        <f>IF(L18&gt;0,AVERAGE(B18:K18),NA())</f>
        <v/>
      </c>
      <c r="N18" s="6">
        <f>IF(L18&gt;0,MAX(B18:K18)-MIN(B18:K18),NA())</f>
        <v/>
      </c>
      <c r="O18" s="6">
        <f>$C$3</f>
        <v/>
      </c>
      <c r="P18" s="6">
        <f>$C$3+$E$3*$D$3</f>
        <v/>
      </c>
      <c r="Q18" s="6">
        <f>$C$3-$E$3*$D$3</f>
        <v/>
      </c>
      <c r="R18" s="6">
        <f>$D$3</f>
        <v/>
      </c>
      <c r="S18" s="6">
        <f>$G$3*$D$3</f>
        <v/>
      </c>
      <c r="T18" s="6">
        <f>$F$3*$D$3</f>
        <v/>
      </c>
      <c r="U18">
        <f>IF(L18&gt;0,IF(OR(M18&gt;P18,M18&lt;Q18,N18&gt;S18),"OUT",""),"")</f>
        <v/>
      </c>
    </row>
    <row r="19">
      <c r="A19" t="n">
        <v>14</v>
      </c>
      <c r="B19" s="5" t="n">
        <v>10.0525</v>
      </c>
      <c r="C19" s="5" t="n">
        <v>10.0092</v>
      </c>
      <c r="D19" s="5" t="n">
        <v>10.0049</v>
      </c>
      <c r="E19" s="5" t="n">
        <v>9.9702</v>
      </c>
      <c r="F19" s="5" t="n">
        <v>9.963800000000001</v>
      </c>
      <c r="G19" s="5" t="n"/>
      <c r="H19" s="5" t="n"/>
      <c r="I19" s="5" t="n"/>
      <c r="J19" s="5" t="n"/>
      <c r="K19" s="5" t="n"/>
      <c r="L19">
        <f>COUNT(B19:K19)</f>
        <v/>
      </c>
      <c r="M19" s="6">
        <f>IF(L19&gt;0,AVERAGE(B19:K19),NA())</f>
        <v/>
      </c>
      <c r="N19" s="6">
        <f>IF(L19&gt;0,MAX(B19:K19)-MIN(B19:K19),NA())</f>
        <v/>
      </c>
      <c r="O19" s="6">
        <f>$C$3</f>
        <v/>
      </c>
      <c r="P19" s="6">
        <f>$C$3+$E$3*$D$3</f>
        <v/>
      </c>
      <c r="Q19" s="6">
        <f>$C$3-$E$3*$D$3</f>
        <v/>
      </c>
      <c r="R19" s="6">
        <f>$D$3</f>
        <v/>
      </c>
      <c r="S19" s="6">
        <f>$G$3*$D$3</f>
        <v/>
      </c>
      <c r="T19" s="6">
        <f>$F$3*$D$3</f>
        <v/>
      </c>
      <c r="U19">
        <f>IF(L19&gt;0,IF(OR(M19&gt;P19,M19&lt;Q19,N19&gt;S19),"OUT",""),"")</f>
        <v/>
      </c>
    </row>
    <row r="20">
      <c r="A20" t="n">
        <v>15</v>
      </c>
      <c r="B20" s="5" t="n">
        <v>9.9884</v>
      </c>
      <c r="C20" s="5" t="n">
        <v>9.972799999999999</v>
      </c>
      <c r="D20" s="5" t="n">
        <v>10.0201</v>
      </c>
      <c r="E20" s="5" t="n">
        <v>10.0053</v>
      </c>
      <c r="F20" s="5" t="n">
        <v>10.0104</v>
      </c>
      <c r="G20" s="5" t="n"/>
      <c r="H20" s="5" t="n"/>
      <c r="I20" s="5" t="n"/>
      <c r="J20" s="5" t="n"/>
      <c r="K20" s="5" t="n"/>
      <c r="L20">
        <f>COUNT(B20:K20)</f>
        <v/>
      </c>
      <c r="M20" s="6">
        <f>IF(L20&gt;0,AVERAGE(B20:K20),NA())</f>
        <v/>
      </c>
      <c r="N20" s="6">
        <f>IF(L20&gt;0,MAX(B20:K20)-MIN(B20:K20),NA())</f>
        <v/>
      </c>
      <c r="O20" s="6">
        <f>$C$3</f>
        <v/>
      </c>
      <c r="P20" s="6">
        <f>$C$3+$E$3*$D$3</f>
        <v/>
      </c>
      <c r="Q20" s="6">
        <f>$C$3-$E$3*$D$3</f>
        <v/>
      </c>
      <c r="R20" s="6">
        <f>$D$3</f>
        <v/>
      </c>
      <c r="S20" s="6">
        <f>$G$3*$D$3</f>
        <v/>
      </c>
      <c r="T20" s="6">
        <f>$F$3*$D$3</f>
        <v/>
      </c>
      <c r="U20">
        <f>IF(L20&gt;0,IF(OR(M20&gt;P20,M20&lt;Q20,N20&gt;S20),"OUT",""),"")</f>
        <v/>
      </c>
    </row>
    <row r="21">
      <c r="A21" t="n">
        <v>16</v>
      </c>
      <c r="B21" s="5" t="n">
        <v>9.9939</v>
      </c>
      <c r="C21" s="5" t="n">
        <v>10.0503</v>
      </c>
      <c r="D21" s="5" t="n">
        <v>10.0429</v>
      </c>
      <c r="E21" s="5" t="n">
        <v>10.0341</v>
      </c>
      <c r="F21" s="5" t="n">
        <v>9.950699999999999</v>
      </c>
      <c r="G21" s="5" t="n"/>
      <c r="H21" s="5" t="n"/>
      <c r="I21" s="5" t="n"/>
      <c r="J21" s="5" t="n"/>
      <c r="K21" s="5" t="n"/>
      <c r="L21">
        <f>COUNT(B21:K21)</f>
        <v/>
      </c>
      <c r="M21" s="6">
        <f>IF(L21&gt;0,AVERAGE(B21:K21),NA())</f>
        <v/>
      </c>
      <c r="N21" s="6">
        <f>IF(L21&gt;0,MAX(B21:K21)-MIN(B21:K21),NA())</f>
        <v/>
      </c>
      <c r="O21" s="6">
        <f>$C$3</f>
        <v/>
      </c>
      <c r="P21" s="6">
        <f>$C$3+$E$3*$D$3</f>
        <v/>
      </c>
      <c r="Q21" s="6">
        <f>$C$3-$E$3*$D$3</f>
        <v/>
      </c>
      <c r="R21" s="6">
        <f>$D$3</f>
        <v/>
      </c>
      <c r="S21" s="6">
        <f>$G$3*$D$3</f>
        <v/>
      </c>
      <c r="T21" s="6">
        <f>$F$3*$D$3</f>
        <v/>
      </c>
      <c r="U21">
        <f>IF(L21&gt;0,IF(OR(M21&gt;P21,M21&lt;Q21,N21&gt;S21),"OUT",""),"")</f>
        <v/>
      </c>
    </row>
    <row r="22">
      <c r="A22" t="n">
        <v>17</v>
      </c>
      <c r="B22" s="5" t="n">
        <v>10.0041</v>
      </c>
      <c r="C22" s="5" t="n">
        <v>9.990399999999999</v>
      </c>
      <c r="D22" s="5" t="n">
        <v>9.9809</v>
      </c>
      <c r="E22" s="5" t="n">
        <v>10.0124</v>
      </c>
      <c r="F22" s="5" t="n">
        <v>9.988</v>
      </c>
      <c r="G22" s="5" t="n"/>
      <c r="H22" s="5" t="n"/>
      <c r="I22" s="5" t="n"/>
      <c r="J22" s="5" t="n"/>
      <c r="K22" s="5" t="n"/>
      <c r="L22">
        <f>COUNT(B22:K22)</f>
        <v/>
      </c>
      <c r="M22" s="6">
        <f>IF(L22&gt;0,AVERAGE(B22:K22),NA())</f>
        <v/>
      </c>
      <c r="N22" s="6">
        <f>IF(L22&gt;0,MAX(B22:K22)-MIN(B22:K22),NA())</f>
        <v/>
      </c>
      <c r="O22" s="6">
        <f>$C$3</f>
        <v/>
      </c>
      <c r="P22" s="6">
        <f>$C$3+$E$3*$D$3</f>
        <v/>
      </c>
      <c r="Q22" s="6">
        <f>$C$3-$E$3*$D$3</f>
        <v/>
      </c>
      <c r="R22" s="6">
        <f>$D$3</f>
        <v/>
      </c>
      <c r="S22" s="6">
        <f>$G$3*$D$3</f>
        <v/>
      </c>
      <c r="T22" s="6">
        <f>$F$3*$D$3</f>
        <v/>
      </c>
      <c r="U22">
        <f>IF(L22&gt;0,IF(OR(M22&gt;P22,M22&lt;Q22,N22&gt;S22),"OUT",""),"")</f>
        <v/>
      </c>
    </row>
    <row r="23">
      <c r="A23" t="n">
        <v>18</v>
      </c>
      <c r="B23" s="5" t="n">
        <v>9.960000000000001</v>
      </c>
      <c r="C23" s="5" t="n">
        <v>10.0106</v>
      </c>
      <c r="D23" s="5" t="n">
        <v>10.0017</v>
      </c>
      <c r="E23" s="5" t="n">
        <v>10.0083</v>
      </c>
      <c r="F23" s="5" t="n">
        <v>9.9947</v>
      </c>
      <c r="G23" s="5" t="n"/>
      <c r="H23" s="5" t="n"/>
      <c r="I23" s="5" t="n"/>
      <c r="J23" s="5" t="n"/>
      <c r="K23" s="5" t="n"/>
      <c r="L23">
        <f>COUNT(B23:K23)</f>
        <v/>
      </c>
      <c r="M23" s="6">
        <f>IF(L23&gt;0,AVERAGE(B23:K23),NA())</f>
        <v/>
      </c>
      <c r="N23" s="6">
        <f>IF(L23&gt;0,MAX(B23:K23)-MIN(B23:K23),NA())</f>
        <v/>
      </c>
      <c r="O23" s="6">
        <f>$C$3</f>
        <v/>
      </c>
      <c r="P23" s="6">
        <f>$C$3+$E$3*$D$3</f>
        <v/>
      </c>
      <c r="Q23" s="6">
        <f>$C$3-$E$3*$D$3</f>
        <v/>
      </c>
      <c r="R23" s="6">
        <f>$D$3</f>
        <v/>
      </c>
      <c r="S23" s="6">
        <f>$G$3*$D$3</f>
        <v/>
      </c>
      <c r="T23" s="6">
        <f>$F$3*$D$3</f>
        <v/>
      </c>
      <c r="U23">
        <f>IF(L23&gt;0,IF(OR(M23&gt;P23,M23&lt;Q23,N23&gt;S23),"OUT",""),"")</f>
        <v/>
      </c>
    </row>
    <row r="24">
      <c r="A24" t="n">
        <v>19</v>
      </c>
      <c r="B24" s="5" t="n">
        <v>9.981199999999999</v>
      </c>
      <c r="C24" s="5" t="n">
        <v>10.0341</v>
      </c>
      <c r="D24" s="5" t="n">
        <v>10.0321</v>
      </c>
      <c r="E24" s="5" t="n">
        <v>9.9794</v>
      </c>
      <c r="F24" s="5" t="n">
        <v>9.9657</v>
      </c>
      <c r="G24" s="5" t="n"/>
      <c r="H24" s="5" t="n"/>
      <c r="I24" s="5" t="n"/>
      <c r="J24" s="5" t="n"/>
      <c r="K24" s="5" t="n"/>
      <c r="L24">
        <f>COUNT(B24:K24)</f>
        <v/>
      </c>
      <c r="M24" s="6">
        <f>IF(L24&gt;0,AVERAGE(B24:K24),NA())</f>
        <v/>
      </c>
      <c r="N24" s="6">
        <f>IF(L24&gt;0,MAX(B24:K24)-MIN(B24:K24),NA())</f>
        <v/>
      </c>
      <c r="O24" s="6">
        <f>$C$3</f>
        <v/>
      </c>
      <c r="P24" s="6">
        <f>$C$3+$E$3*$D$3</f>
        <v/>
      </c>
      <c r="Q24" s="6">
        <f>$C$3-$E$3*$D$3</f>
        <v/>
      </c>
      <c r="R24" s="6">
        <f>$D$3</f>
        <v/>
      </c>
      <c r="S24" s="6">
        <f>$G$3*$D$3</f>
        <v/>
      </c>
      <c r="T24" s="6">
        <f>$F$3*$D$3</f>
        <v/>
      </c>
      <c r="U24">
        <f>IF(L24&gt;0,IF(OR(M24&gt;P24,M24&lt;Q24,N24&gt;S24),"OUT",""),"")</f>
        <v/>
      </c>
    </row>
    <row r="25">
      <c r="A25" t="n">
        <v>20</v>
      </c>
      <c r="B25" s="5" t="n">
        <v>9.941800000000001</v>
      </c>
      <c r="C25" s="5" t="n">
        <v>10.0441</v>
      </c>
      <c r="D25" s="5" t="n">
        <v>9.9536</v>
      </c>
      <c r="E25" s="5" t="n">
        <v>10.0479</v>
      </c>
      <c r="F25" s="5" t="n">
        <v>10.035</v>
      </c>
      <c r="G25" s="5" t="n"/>
      <c r="H25" s="5" t="n"/>
      <c r="I25" s="5" t="n"/>
      <c r="J25" s="5" t="n"/>
      <c r="K25" s="5" t="n"/>
      <c r="L25">
        <f>COUNT(B25:K25)</f>
        <v/>
      </c>
      <c r="M25" s="6">
        <f>IF(L25&gt;0,AVERAGE(B25:K25),NA())</f>
        <v/>
      </c>
      <c r="N25" s="6">
        <f>IF(L25&gt;0,MAX(B25:K25)-MIN(B25:K25),NA())</f>
        <v/>
      </c>
      <c r="O25" s="6">
        <f>$C$3</f>
        <v/>
      </c>
      <c r="P25" s="6">
        <f>$C$3+$E$3*$D$3</f>
        <v/>
      </c>
      <c r="Q25" s="6">
        <f>$C$3-$E$3*$D$3</f>
        <v/>
      </c>
      <c r="R25" s="6">
        <f>$D$3</f>
        <v/>
      </c>
      <c r="S25" s="6">
        <f>$G$3*$D$3</f>
        <v/>
      </c>
      <c r="T25" s="6">
        <f>$F$3*$D$3</f>
        <v/>
      </c>
      <c r="U25">
        <f>IF(L25&gt;0,IF(OR(M25&gt;P25,M25&lt;Q25,N25&gt;S25),"OUT",""),"")</f>
        <v/>
      </c>
    </row>
    <row r="26">
      <c r="A26" t="n">
        <v>21</v>
      </c>
      <c r="B26" s="5" t="n">
        <v>10.0309</v>
      </c>
      <c r="C26" s="5" t="n">
        <v>10.0261</v>
      </c>
      <c r="D26" s="5" t="n">
        <v>10.0074</v>
      </c>
      <c r="E26" s="5" t="n">
        <v>10.0254</v>
      </c>
      <c r="F26" s="5" t="n">
        <v>9.972099999999999</v>
      </c>
      <c r="G26" s="5" t="n"/>
      <c r="H26" s="5" t="n"/>
      <c r="I26" s="5" t="n"/>
      <c r="J26" s="5" t="n"/>
      <c r="K26" s="5" t="n"/>
      <c r="L26">
        <f>COUNT(B26:K26)</f>
        <v/>
      </c>
      <c r="M26" s="6">
        <f>IF(L26&gt;0,AVERAGE(B26:K26),NA())</f>
        <v/>
      </c>
      <c r="N26" s="6">
        <f>IF(L26&gt;0,MAX(B26:K26)-MIN(B26:K26),NA())</f>
        <v/>
      </c>
      <c r="O26" s="6">
        <f>$C$3</f>
        <v/>
      </c>
      <c r="P26" s="6">
        <f>$C$3+$E$3*$D$3</f>
        <v/>
      </c>
      <c r="Q26" s="6">
        <f>$C$3-$E$3*$D$3</f>
        <v/>
      </c>
      <c r="R26" s="6">
        <f>$D$3</f>
        <v/>
      </c>
      <c r="S26" s="6">
        <f>$G$3*$D$3</f>
        <v/>
      </c>
      <c r="T26" s="6">
        <f>$F$3*$D$3</f>
        <v/>
      </c>
      <c r="U26">
        <f>IF(L26&gt;0,IF(OR(M26&gt;P26,M26&lt;Q26,N26&gt;S26),"OUT",""),"")</f>
        <v/>
      </c>
    </row>
    <row r="27">
      <c r="A27" t="n">
        <v>22</v>
      </c>
      <c r="B27" s="5" t="n">
        <v>9.994199999999999</v>
      </c>
      <c r="C27" s="5" t="n">
        <v>10.0223</v>
      </c>
      <c r="D27" s="5" t="n">
        <v>10.0307</v>
      </c>
      <c r="E27" s="5" t="n">
        <v>10.0236</v>
      </c>
      <c r="F27" s="5" t="n">
        <v>9.9818</v>
      </c>
      <c r="G27" s="5" t="n"/>
      <c r="H27" s="5" t="n"/>
      <c r="I27" s="5" t="n"/>
      <c r="J27" s="5" t="n"/>
      <c r="K27" s="5" t="n"/>
      <c r="L27">
        <f>COUNT(B27:K27)</f>
        <v/>
      </c>
      <c r="M27" s="6">
        <f>IF(L27&gt;0,AVERAGE(B27:K27),NA())</f>
        <v/>
      </c>
      <c r="N27" s="6">
        <f>IF(L27&gt;0,MAX(B27:K27)-MIN(B27:K27),NA())</f>
        <v/>
      </c>
      <c r="O27" s="6">
        <f>$C$3</f>
        <v/>
      </c>
      <c r="P27" s="6">
        <f>$C$3+$E$3*$D$3</f>
        <v/>
      </c>
      <c r="Q27" s="6">
        <f>$C$3-$E$3*$D$3</f>
        <v/>
      </c>
      <c r="R27" s="6">
        <f>$D$3</f>
        <v/>
      </c>
      <c r="S27" s="6">
        <f>$G$3*$D$3</f>
        <v/>
      </c>
      <c r="T27" s="6">
        <f>$F$3*$D$3</f>
        <v/>
      </c>
      <c r="U27">
        <f>IF(L27&gt;0,IF(OR(M27&gt;P27,M27&lt;Q27,N27&gt;S27),"OUT",""),"")</f>
        <v/>
      </c>
    </row>
    <row r="28">
      <c r="A28" t="n">
        <v>23</v>
      </c>
      <c r="B28" s="5" t="n">
        <v>9.954599999999999</v>
      </c>
      <c r="C28" s="5" t="n">
        <v>9.989800000000001</v>
      </c>
      <c r="D28" s="5" t="n">
        <v>9.9855</v>
      </c>
      <c r="E28" s="5" t="n">
        <v>9.9672</v>
      </c>
      <c r="F28" s="5" t="n">
        <v>9.978999999999999</v>
      </c>
      <c r="G28" s="5" t="n"/>
      <c r="H28" s="5" t="n"/>
      <c r="I28" s="5" t="n"/>
      <c r="J28" s="5" t="n"/>
      <c r="K28" s="5" t="n"/>
      <c r="L28">
        <f>COUNT(B28:K28)</f>
        <v/>
      </c>
      <c r="M28" s="6">
        <f>IF(L28&gt;0,AVERAGE(B28:K28),NA())</f>
        <v/>
      </c>
      <c r="N28" s="6">
        <f>IF(L28&gt;0,MAX(B28:K28)-MIN(B28:K28),NA())</f>
        <v/>
      </c>
      <c r="O28" s="6">
        <f>$C$3</f>
        <v/>
      </c>
      <c r="P28" s="6">
        <f>$C$3+$E$3*$D$3</f>
        <v/>
      </c>
      <c r="Q28" s="6">
        <f>$C$3-$E$3*$D$3</f>
        <v/>
      </c>
      <c r="R28" s="6">
        <f>$D$3</f>
        <v/>
      </c>
      <c r="S28" s="6">
        <f>$G$3*$D$3</f>
        <v/>
      </c>
      <c r="T28" s="6">
        <f>$F$3*$D$3</f>
        <v/>
      </c>
      <c r="U28">
        <f>IF(L28&gt;0,IF(OR(M28&gt;P28,M28&lt;Q28,N28&gt;S28),"OUT",""),"")</f>
        <v/>
      </c>
    </row>
    <row r="29">
      <c r="A29" t="n">
        <v>24</v>
      </c>
      <c r="B29" s="5" t="n">
        <v>10.0236</v>
      </c>
      <c r="C29" s="5" t="n">
        <v>9.9953</v>
      </c>
      <c r="D29" s="5" t="n">
        <v>10.0071</v>
      </c>
      <c r="E29" s="5" t="n">
        <v>10.049</v>
      </c>
      <c r="F29" s="5" t="n">
        <v>10.0279</v>
      </c>
      <c r="G29" s="5" t="n"/>
      <c r="H29" s="5" t="n"/>
      <c r="I29" s="5" t="n"/>
      <c r="J29" s="5" t="n"/>
      <c r="K29" s="5" t="n"/>
      <c r="L29">
        <f>COUNT(B29:K29)</f>
        <v/>
      </c>
      <c r="M29" s="6">
        <f>IF(L29&gt;0,AVERAGE(B29:K29),NA())</f>
        <v/>
      </c>
      <c r="N29" s="6">
        <f>IF(L29&gt;0,MAX(B29:K29)-MIN(B29:K29),NA())</f>
        <v/>
      </c>
      <c r="O29" s="6">
        <f>$C$3</f>
        <v/>
      </c>
      <c r="P29" s="6">
        <f>$C$3+$E$3*$D$3</f>
        <v/>
      </c>
      <c r="Q29" s="6">
        <f>$C$3-$E$3*$D$3</f>
        <v/>
      </c>
      <c r="R29" s="6">
        <f>$D$3</f>
        <v/>
      </c>
      <c r="S29" s="6">
        <f>$G$3*$D$3</f>
        <v/>
      </c>
      <c r="T29" s="6">
        <f>$F$3*$D$3</f>
        <v/>
      </c>
      <c r="U29">
        <f>IF(L29&gt;0,IF(OR(M29&gt;P29,M29&lt;Q29,N29&gt;S29),"OUT",""),"")</f>
        <v/>
      </c>
    </row>
    <row r="30">
      <c r="A30" t="n">
        <v>25</v>
      </c>
      <c r="B30" s="5" t="n">
        <v>10.0349</v>
      </c>
      <c r="C30" s="5" t="n">
        <v>10.0302</v>
      </c>
      <c r="D30" s="5" t="n">
        <v>10.0462</v>
      </c>
      <c r="E30" s="5" t="n">
        <v>9.962999999999999</v>
      </c>
      <c r="F30" s="5" t="n">
        <v>9.984299999999999</v>
      </c>
      <c r="G30" s="5" t="n"/>
      <c r="H30" s="5" t="n"/>
      <c r="I30" s="5" t="n"/>
      <c r="J30" s="5" t="n"/>
      <c r="K30" s="5" t="n"/>
      <c r="L30">
        <f>COUNT(B30:K30)</f>
        <v/>
      </c>
      <c r="M30" s="6">
        <f>IF(L30&gt;0,AVERAGE(B30:K30),NA())</f>
        <v/>
      </c>
      <c r="N30" s="6">
        <f>IF(L30&gt;0,MAX(B30:K30)-MIN(B30:K30),NA())</f>
        <v/>
      </c>
      <c r="O30" s="6">
        <f>$C$3</f>
        <v/>
      </c>
      <c r="P30" s="6">
        <f>$C$3+$E$3*$D$3</f>
        <v/>
      </c>
      <c r="Q30" s="6">
        <f>$C$3-$E$3*$D$3</f>
        <v/>
      </c>
      <c r="R30" s="6">
        <f>$D$3</f>
        <v/>
      </c>
      <c r="S30" s="6">
        <f>$G$3*$D$3</f>
        <v/>
      </c>
      <c r="T30" s="6">
        <f>$F$3*$D$3</f>
        <v/>
      </c>
      <c r="U30">
        <f>IF(L30&gt;0,IF(OR(M30&gt;P30,M30&lt;Q30,N30&gt;S30),"OUT",""),"")</f>
        <v/>
      </c>
    </row>
    <row r="31">
      <c r="A31" t="n">
        <v>26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>
        <f>COUNT(B31:K31)</f>
        <v/>
      </c>
      <c r="M31" s="6">
        <f>IF(L31&gt;0,AVERAGE(B31:K31),NA())</f>
        <v/>
      </c>
      <c r="N31" s="6">
        <f>IF(L31&gt;0,MAX(B31:K31)-MIN(B31:K31),NA())</f>
        <v/>
      </c>
      <c r="O31" s="6">
        <f>$C$3</f>
        <v/>
      </c>
      <c r="P31" s="6">
        <f>$C$3+$E$3*$D$3</f>
        <v/>
      </c>
      <c r="Q31" s="6">
        <f>$C$3-$E$3*$D$3</f>
        <v/>
      </c>
      <c r="R31" s="6">
        <f>$D$3</f>
        <v/>
      </c>
      <c r="S31" s="6">
        <f>$G$3*$D$3</f>
        <v/>
      </c>
      <c r="T31" s="6">
        <f>$F$3*$D$3</f>
        <v/>
      </c>
      <c r="U31">
        <f>IF(L31&gt;0,IF(OR(M31&gt;P31,M31&lt;Q31,N31&gt;S31),"OUT",""),"")</f>
        <v/>
      </c>
    </row>
    <row r="32">
      <c r="A32" t="n">
        <v>27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>
        <f>COUNT(B32:K32)</f>
        <v/>
      </c>
      <c r="M32" s="6">
        <f>IF(L32&gt;0,AVERAGE(B32:K32),NA())</f>
        <v/>
      </c>
      <c r="N32" s="6">
        <f>IF(L32&gt;0,MAX(B32:K32)-MIN(B32:K32),NA())</f>
        <v/>
      </c>
      <c r="O32" s="6">
        <f>$C$3</f>
        <v/>
      </c>
      <c r="P32" s="6">
        <f>$C$3+$E$3*$D$3</f>
        <v/>
      </c>
      <c r="Q32" s="6">
        <f>$C$3-$E$3*$D$3</f>
        <v/>
      </c>
      <c r="R32" s="6">
        <f>$D$3</f>
        <v/>
      </c>
      <c r="S32" s="6">
        <f>$G$3*$D$3</f>
        <v/>
      </c>
      <c r="T32" s="6">
        <f>$F$3*$D$3</f>
        <v/>
      </c>
      <c r="U32">
        <f>IF(L32&gt;0,IF(OR(M32&gt;P32,M32&lt;Q32,N32&gt;S32),"OUT",""),"")</f>
        <v/>
      </c>
    </row>
    <row r="33">
      <c r="A33" t="n">
        <v>28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>
        <f>COUNT(B33:K33)</f>
        <v/>
      </c>
      <c r="M33" s="6">
        <f>IF(L33&gt;0,AVERAGE(B33:K33),NA())</f>
        <v/>
      </c>
      <c r="N33" s="6">
        <f>IF(L33&gt;0,MAX(B33:K33)-MIN(B33:K33),NA())</f>
        <v/>
      </c>
      <c r="O33" s="6">
        <f>$C$3</f>
        <v/>
      </c>
      <c r="P33" s="6">
        <f>$C$3+$E$3*$D$3</f>
        <v/>
      </c>
      <c r="Q33" s="6">
        <f>$C$3-$E$3*$D$3</f>
        <v/>
      </c>
      <c r="R33" s="6">
        <f>$D$3</f>
        <v/>
      </c>
      <c r="S33" s="6">
        <f>$G$3*$D$3</f>
        <v/>
      </c>
      <c r="T33" s="6">
        <f>$F$3*$D$3</f>
        <v/>
      </c>
      <c r="U33">
        <f>IF(L33&gt;0,IF(OR(M33&gt;P33,M33&lt;Q33,N33&gt;S33),"OUT",""),"")</f>
        <v/>
      </c>
    </row>
    <row r="34">
      <c r="A34" t="n">
        <v>29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>
        <f>COUNT(B34:K34)</f>
        <v/>
      </c>
      <c r="M34" s="6">
        <f>IF(L34&gt;0,AVERAGE(B34:K34),NA())</f>
        <v/>
      </c>
      <c r="N34" s="6">
        <f>IF(L34&gt;0,MAX(B34:K34)-MIN(B34:K34),NA())</f>
        <v/>
      </c>
      <c r="O34" s="6">
        <f>$C$3</f>
        <v/>
      </c>
      <c r="P34" s="6">
        <f>$C$3+$E$3*$D$3</f>
        <v/>
      </c>
      <c r="Q34" s="6">
        <f>$C$3-$E$3*$D$3</f>
        <v/>
      </c>
      <c r="R34" s="6">
        <f>$D$3</f>
        <v/>
      </c>
      <c r="S34" s="6">
        <f>$G$3*$D$3</f>
        <v/>
      </c>
      <c r="T34" s="6">
        <f>$F$3*$D$3</f>
        <v/>
      </c>
      <c r="U34">
        <f>IF(L34&gt;0,IF(OR(M34&gt;P34,M34&lt;Q34,N34&gt;S34),"OUT",""),"")</f>
        <v/>
      </c>
    </row>
    <row r="35">
      <c r="A35" t="n">
        <v>30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>
        <f>COUNT(B35:K35)</f>
        <v/>
      </c>
      <c r="M35" s="6">
        <f>IF(L35&gt;0,AVERAGE(B35:K35),NA())</f>
        <v/>
      </c>
      <c r="N35" s="6">
        <f>IF(L35&gt;0,MAX(B35:K35)-MIN(B35:K35),NA())</f>
        <v/>
      </c>
      <c r="O35" s="6">
        <f>$C$3</f>
        <v/>
      </c>
      <c r="P35" s="6">
        <f>$C$3+$E$3*$D$3</f>
        <v/>
      </c>
      <c r="Q35" s="6">
        <f>$C$3-$E$3*$D$3</f>
        <v/>
      </c>
      <c r="R35" s="6">
        <f>$D$3</f>
        <v/>
      </c>
      <c r="S35" s="6">
        <f>$G$3*$D$3</f>
        <v/>
      </c>
      <c r="T35" s="6">
        <f>$F$3*$D$3</f>
        <v/>
      </c>
      <c r="U35">
        <f>IF(L35&gt;0,IF(OR(M35&gt;P35,M35&lt;Q35,N35&gt;S35),"OUT",""),"")</f>
        <v/>
      </c>
    </row>
    <row r="36">
      <c r="A36" t="n">
        <v>31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>
        <f>COUNT(B36:K36)</f>
        <v/>
      </c>
      <c r="M36" s="6">
        <f>IF(L36&gt;0,AVERAGE(B36:K36),NA())</f>
        <v/>
      </c>
      <c r="N36" s="6">
        <f>IF(L36&gt;0,MAX(B36:K36)-MIN(B36:K36),NA())</f>
        <v/>
      </c>
      <c r="O36" s="6">
        <f>$C$3</f>
        <v/>
      </c>
      <c r="P36" s="6">
        <f>$C$3+$E$3*$D$3</f>
        <v/>
      </c>
      <c r="Q36" s="6">
        <f>$C$3-$E$3*$D$3</f>
        <v/>
      </c>
      <c r="R36" s="6">
        <f>$D$3</f>
        <v/>
      </c>
      <c r="S36" s="6">
        <f>$G$3*$D$3</f>
        <v/>
      </c>
      <c r="T36" s="6">
        <f>$F$3*$D$3</f>
        <v/>
      </c>
      <c r="U36">
        <f>IF(L36&gt;0,IF(OR(M36&gt;P36,M36&lt;Q36,N36&gt;S36),"OUT",""),"")</f>
        <v/>
      </c>
    </row>
    <row r="37">
      <c r="A37" t="n">
        <v>32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>
        <f>COUNT(B37:K37)</f>
        <v/>
      </c>
      <c r="M37" s="6">
        <f>IF(L37&gt;0,AVERAGE(B37:K37),NA())</f>
        <v/>
      </c>
      <c r="N37" s="6">
        <f>IF(L37&gt;0,MAX(B37:K37)-MIN(B37:K37),NA())</f>
        <v/>
      </c>
      <c r="O37" s="6">
        <f>$C$3</f>
        <v/>
      </c>
      <c r="P37" s="6">
        <f>$C$3+$E$3*$D$3</f>
        <v/>
      </c>
      <c r="Q37" s="6">
        <f>$C$3-$E$3*$D$3</f>
        <v/>
      </c>
      <c r="R37" s="6">
        <f>$D$3</f>
        <v/>
      </c>
      <c r="S37" s="6">
        <f>$G$3*$D$3</f>
        <v/>
      </c>
      <c r="T37" s="6">
        <f>$F$3*$D$3</f>
        <v/>
      </c>
      <c r="U37">
        <f>IF(L37&gt;0,IF(OR(M37&gt;P37,M37&lt;Q37,N37&gt;S37),"OUT",""),"")</f>
        <v/>
      </c>
    </row>
    <row r="38">
      <c r="A38" t="n">
        <v>33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>
        <f>COUNT(B38:K38)</f>
        <v/>
      </c>
      <c r="M38" s="6">
        <f>IF(L38&gt;0,AVERAGE(B38:K38),NA())</f>
        <v/>
      </c>
      <c r="N38" s="6">
        <f>IF(L38&gt;0,MAX(B38:K38)-MIN(B38:K38),NA())</f>
        <v/>
      </c>
      <c r="O38" s="6">
        <f>$C$3</f>
        <v/>
      </c>
      <c r="P38" s="6">
        <f>$C$3+$E$3*$D$3</f>
        <v/>
      </c>
      <c r="Q38" s="6">
        <f>$C$3-$E$3*$D$3</f>
        <v/>
      </c>
      <c r="R38" s="6">
        <f>$D$3</f>
        <v/>
      </c>
      <c r="S38" s="6">
        <f>$G$3*$D$3</f>
        <v/>
      </c>
      <c r="T38" s="6">
        <f>$F$3*$D$3</f>
        <v/>
      </c>
      <c r="U38">
        <f>IF(L38&gt;0,IF(OR(M38&gt;P38,M38&lt;Q38,N38&gt;S38),"OUT",""),"")</f>
        <v/>
      </c>
    </row>
    <row r="39">
      <c r="A39" t="n">
        <v>34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>
        <f>COUNT(B39:K39)</f>
        <v/>
      </c>
      <c r="M39" s="6">
        <f>IF(L39&gt;0,AVERAGE(B39:K39),NA())</f>
        <v/>
      </c>
      <c r="N39" s="6">
        <f>IF(L39&gt;0,MAX(B39:K39)-MIN(B39:K39),NA())</f>
        <v/>
      </c>
      <c r="O39" s="6">
        <f>$C$3</f>
        <v/>
      </c>
      <c r="P39" s="6">
        <f>$C$3+$E$3*$D$3</f>
        <v/>
      </c>
      <c r="Q39" s="6">
        <f>$C$3-$E$3*$D$3</f>
        <v/>
      </c>
      <c r="R39" s="6">
        <f>$D$3</f>
        <v/>
      </c>
      <c r="S39" s="6">
        <f>$G$3*$D$3</f>
        <v/>
      </c>
      <c r="T39" s="6">
        <f>$F$3*$D$3</f>
        <v/>
      </c>
      <c r="U39">
        <f>IF(L39&gt;0,IF(OR(M39&gt;P39,M39&lt;Q39,N39&gt;S39),"OUT",""),"")</f>
        <v/>
      </c>
    </row>
    <row r="40">
      <c r="A40" t="n">
        <v>35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>
        <f>COUNT(B40:K40)</f>
        <v/>
      </c>
      <c r="M40" s="6">
        <f>IF(L40&gt;0,AVERAGE(B40:K40),NA())</f>
        <v/>
      </c>
      <c r="N40" s="6">
        <f>IF(L40&gt;0,MAX(B40:K40)-MIN(B40:K40),NA())</f>
        <v/>
      </c>
      <c r="O40" s="6">
        <f>$C$3</f>
        <v/>
      </c>
      <c r="P40" s="6">
        <f>$C$3+$E$3*$D$3</f>
        <v/>
      </c>
      <c r="Q40" s="6">
        <f>$C$3-$E$3*$D$3</f>
        <v/>
      </c>
      <c r="R40" s="6">
        <f>$D$3</f>
        <v/>
      </c>
      <c r="S40" s="6">
        <f>$G$3*$D$3</f>
        <v/>
      </c>
      <c r="T40" s="6">
        <f>$F$3*$D$3</f>
        <v/>
      </c>
      <c r="U40">
        <f>IF(L40&gt;0,IF(OR(M40&gt;P40,M40&lt;Q40,N40&gt;S40),"OUT",""),"")</f>
        <v/>
      </c>
    </row>
    <row r="41">
      <c r="A41" t="n">
        <v>36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>
        <f>COUNT(B41:K41)</f>
        <v/>
      </c>
      <c r="M41" s="6">
        <f>IF(L41&gt;0,AVERAGE(B41:K41),NA())</f>
        <v/>
      </c>
      <c r="N41" s="6">
        <f>IF(L41&gt;0,MAX(B41:K41)-MIN(B41:K41),NA())</f>
        <v/>
      </c>
      <c r="O41" s="6">
        <f>$C$3</f>
        <v/>
      </c>
      <c r="P41" s="6">
        <f>$C$3+$E$3*$D$3</f>
        <v/>
      </c>
      <c r="Q41" s="6">
        <f>$C$3-$E$3*$D$3</f>
        <v/>
      </c>
      <c r="R41" s="6">
        <f>$D$3</f>
        <v/>
      </c>
      <c r="S41" s="6">
        <f>$G$3*$D$3</f>
        <v/>
      </c>
      <c r="T41" s="6">
        <f>$F$3*$D$3</f>
        <v/>
      </c>
      <c r="U41">
        <f>IF(L41&gt;0,IF(OR(M41&gt;P41,M41&lt;Q41,N41&gt;S41),"OUT",""),"")</f>
        <v/>
      </c>
    </row>
    <row r="42">
      <c r="A42" t="n">
        <v>37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>
        <f>COUNT(B42:K42)</f>
        <v/>
      </c>
      <c r="M42" s="6">
        <f>IF(L42&gt;0,AVERAGE(B42:K42),NA())</f>
        <v/>
      </c>
      <c r="N42" s="6">
        <f>IF(L42&gt;0,MAX(B42:K42)-MIN(B42:K42),NA())</f>
        <v/>
      </c>
      <c r="O42" s="6">
        <f>$C$3</f>
        <v/>
      </c>
      <c r="P42" s="6">
        <f>$C$3+$E$3*$D$3</f>
        <v/>
      </c>
      <c r="Q42" s="6">
        <f>$C$3-$E$3*$D$3</f>
        <v/>
      </c>
      <c r="R42" s="6">
        <f>$D$3</f>
        <v/>
      </c>
      <c r="S42" s="6">
        <f>$G$3*$D$3</f>
        <v/>
      </c>
      <c r="T42" s="6">
        <f>$F$3*$D$3</f>
        <v/>
      </c>
      <c r="U42">
        <f>IF(L42&gt;0,IF(OR(M42&gt;P42,M42&lt;Q42,N42&gt;S42),"OUT",""),"")</f>
        <v/>
      </c>
    </row>
    <row r="43">
      <c r="A43" t="n">
        <v>38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>
        <f>COUNT(B43:K43)</f>
        <v/>
      </c>
      <c r="M43" s="6">
        <f>IF(L43&gt;0,AVERAGE(B43:K43),NA())</f>
        <v/>
      </c>
      <c r="N43" s="6">
        <f>IF(L43&gt;0,MAX(B43:K43)-MIN(B43:K43),NA())</f>
        <v/>
      </c>
      <c r="O43" s="6">
        <f>$C$3</f>
        <v/>
      </c>
      <c r="P43" s="6">
        <f>$C$3+$E$3*$D$3</f>
        <v/>
      </c>
      <c r="Q43" s="6">
        <f>$C$3-$E$3*$D$3</f>
        <v/>
      </c>
      <c r="R43" s="6">
        <f>$D$3</f>
        <v/>
      </c>
      <c r="S43" s="6">
        <f>$G$3*$D$3</f>
        <v/>
      </c>
      <c r="T43" s="6">
        <f>$F$3*$D$3</f>
        <v/>
      </c>
      <c r="U43">
        <f>IF(L43&gt;0,IF(OR(M43&gt;P43,M43&lt;Q43,N43&gt;S43),"OUT",""),"")</f>
        <v/>
      </c>
    </row>
    <row r="44">
      <c r="A44" t="n">
        <v>39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>
        <f>COUNT(B44:K44)</f>
        <v/>
      </c>
      <c r="M44" s="6">
        <f>IF(L44&gt;0,AVERAGE(B44:K44),NA())</f>
        <v/>
      </c>
      <c r="N44" s="6">
        <f>IF(L44&gt;0,MAX(B44:K44)-MIN(B44:K44),NA())</f>
        <v/>
      </c>
      <c r="O44" s="6">
        <f>$C$3</f>
        <v/>
      </c>
      <c r="P44" s="6">
        <f>$C$3+$E$3*$D$3</f>
        <v/>
      </c>
      <c r="Q44" s="6">
        <f>$C$3-$E$3*$D$3</f>
        <v/>
      </c>
      <c r="R44" s="6">
        <f>$D$3</f>
        <v/>
      </c>
      <c r="S44" s="6">
        <f>$G$3*$D$3</f>
        <v/>
      </c>
      <c r="T44" s="6">
        <f>$F$3*$D$3</f>
        <v/>
      </c>
      <c r="U44">
        <f>IF(L44&gt;0,IF(OR(M44&gt;P44,M44&lt;Q44,N44&gt;S44),"OUT",""),"")</f>
        <v/>
      </c>
    </row>
    <row r="45">
      <c r="A45" t="n">
        <v>40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>
        <f>COUNT(B45:K45)</f>
        <v/>
      </c>
      <c r="M45" s="6">
        <f>IF(L45&gt;0,AVERAGE(B45:K45),NA())</f>
        <v/>
      </c>
      <c r="N45" s="6">
        <f>IF(L45&gt;0,MAX(B45:K45)-MIN(B45:K45),NA())</f>
        <v/>
      </c>
      <c r="O45" s="6">
        <f>$C$3</f>
        <v/>
      </c>
      <c r="P45" s="6">
        <f>$C$3+$E$3*$D$3</f>
        <v/>
      </c>
      <c r="Q45" s="6">
        <f>$C$3-$E$3*$D$3</f>
        <v/>
      </c>
      <c r="R45" s="6">
        <f>$D$3</f>
        <v/>
      </c>
      <c r="S45" s="6">
        <f>$G$3*$D$3</f>
        <v/>
      </c>
      <c r="T45" s="6">
        <f>$F$3*$D$3</f>
        <v/>
      </c>
      <c r="U45">
        <f>IF(L45&gt;0,IF(OR(M45&gt;P45,M45&lt;Q45,N45&gt;S45),"OUT",""),"")</f>
        <v/>
      </c>
    </row>
    <row r="46">
      <c r="A46" t="n">
        <v>41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>
        <f>COUNT(B46:K46)</f>
        <v/>
      </c>
      <c r="M46" s="6">
        <f>IF(L46&gt;0,AVERAGE(B46:K46),NA())</f>
        <v/>
      </c>
      <c r="N46" s="6">
        <f>IF(L46&gt;0,MAX(B46:K46)-MIN(B46:K46),NA())</f>
        <v/>
      </c>
      <c r="O46" s="6">
        <f>$C$3</f>
        <v/>
      </c>
      <c r="P46" s="6">
        <f>$C$3+$E$3*$D$3</f>
        <v/>
      </c>
      <c r="Q46" s="6">
        <f>$C$3-$E$3*$D$3</f>
        <v/>
      </c>
      <c r="R46" s="6">
        <f>$D$3</f>
        <v/>
      </c>
      <c r="S46" s="6">
        <f>$G$3*$D$3</f>
        <v/>
      </c>
      <c r="T46" s="6">
        <f>$F$3*$D$3</f>
        <v/>
      </c>
      <c r="U46">
        <f>IF(L46&gt;0,IF(OR(M46&gt;P46,M46&lt;Q46,N46&gt;S46),"OUT",""),"")</f>
        <v/>
      </c>
    </row>
    <row r="47">
      <c r="A47" t="n">
        <v>42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>
        <f>COUNT(B47:K47)</f>
        <v/>
      </c>
      <c r="M47" s="6">
        <f>IF(L47&gt;0,AVERAGE(B47:K47),NA())</f>
        <v/>
      </c>
      <c r="N47" s="6">
        <f>IF(L47&gt;0,MAX(B47:K47)-MIN(B47:K47),NA())</f>
        <v/>
      </c>
      <c r="O47" s="6">
        <f>$C$3</f>
        <v/>
      </c>
      <c r="P47" s="6">
        <f>$C$3+$E$3*$D$3</f>
        <v/>
      </c>
      <c r="Q47" s="6">
        <f>$C$3-$E$3*$D$3</f>
        <v/>
      </c>
      <c r="R47" s="6">
        <f>$D$3</f>
        <v/>
      </c>
      <c r="S47" s="6">
        <f>$G$3*$D$3</f>
        <v/>
      </c>
      <c r="T47" s="6">
        <f>$F$3*$D$3</f>
        <v/>
      </c>
      <c r="U47">
        <f>IF(L47&gt;0,IF(OR(M47&gt;P47,M47&lt;Q47,N47&gt;S47),"OUT",""),"")</f>
        <v/>
      </c>
    </row>
    <row r="48">
      <c r="A48" t="n">
        <v>43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>
        <f>COUNT(B48:K48)</f>
        <v/>
      </c>
      <c r="M48" s="6">
        <f>IF(L48&gt;0,AVERAGE(B48:K48),NA())</f>
        <v/>
      </c>
      <c r="N48" s="6">
        <f>IF(L48&gt;0,MAX(B48:K48)-MIN(B48:K48),NA())</f>
        <v/>
      </c>
      <c r="O48" s="6">
        <f>$C$3</f>
        <v/>
      </c>
      <c r="P48" s="6">
        <f>$C$3+$E$3*$D$3</f>
        <v/>
      </c>
      <c r="Q48" s="6">
        <f>$C$3-$E$3*$D$3</f>
        <v/>
      </c>
      <c r="R48" s="6">
        <f>$D$3</f>
        <v/>
      </c>
      <c r="S48" s="6">
        <f>$G$3*$D$3</f>
        <v/>
      </c>
      <c r="T48" s="6">
        <f>$F$3*$D$3</f>
        <v/>
      </c>
      <c r="U48">
        <f>IF(L48&gt;0,IF(OR(M48&gt;P48,M48&lt;Q48,N48&gt;S48),"OUT",""),"")</f>
        <v/>
      </c>
    </row>
    <row r="49">
      <c r="A49" t="n">
        <v>44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>
        <f>COUNT(B49:K49)</f>
        <v/>
      </c>
      <c r="M49" s="6">
        <f>IF(L49&gt;0,AVERAGE(B49:K49),NA())</f>
        <v/>
      </c>
      <c r="N49" s="6">
        <f>IF(L49&gt;0,MAX(B49:K49)-MIN(B49:K49),NA())</f>
        <v/>
      </c>
      <c r="O49" s="6">
        <f>$C$3</f>
        <v/>
      </c>
      <c r="P49" s="6">
        <f>$C$3+$E$3*$D$3</f>
        <v/>
      </c>
      <c r="Q49" s="6">
        <f>$C$3-$E$3*$D$3</f>
        <v/>
      </c>
      <c r="R49" s="6">
        <f>$D$3</f>
        <v/>
      </c>
      <c r="S49" s="6">
        <f>$G$3*$D$3</f>
        <v/>
      </c>
      <c r="T49" s="6">
        <f>$F$3*$D$3</f>
        <v/>
      </c>
      <c r="U49">
        <f>IF(L49&gt;0,IF(OR(M49&gt;P49,M49&lt;Q49,N49&gt;S49),"OUT",""),"")</f>
        <v/>
      </c>
    </row>
    <row r="50">
      <c r="A50" t="n">
        <v>45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>
        <f>COUNT(B50:K50)</f>
        <v/>
      </c>
      <c r="M50" s="6">
        <f>IF(L50&gt;0,AVERAGE(B50:K50),NA())</f>
        <v/>
      </c>
      <c r="N50" s="6">
        <f>IF(L50&gt;0,MAX(B50:K50)-MIN(B50:K50),NA())</f>
        <v/>
      </c>
      <c r="O50" s="6">
        <f>$C$3</f>
        <v/>
      </c>
      <c r="P50" s="6">
        <f>$C$3+$E$3*$D$3</f>
        <v/>
      </c>
      <c r="Q50" s="6">
        <f>$C$3-$E$3*$D$3</f>
        <v/>
      </c>
      <c r="R50" s="6">
        <f>$D$3</f>
        <v/>
      </c>
      <c r="S50" s="6">
        <f>$G$3*$D$3</f>
        <v/>
      </c>
      <c r="T50" s="6">
        <f>$F$3*$D$3</f>
        <v/>
      </c>
      <c r="U50">
        <f>IF(L50&gt;0,IF(OR(M50&gt;P50,M50&lt;Q50,N50&gt;S50),"OUT",""),"")</f>
        <v/>
      </c>
    </row>
    <row r="51">
      <c r="A51" t="n">
        <v>46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>
        <f>COUNT(B51:K51)</f>
        <v/>
      </c>
      <c r="M51" s="6">
        <f>IF(L51&gt;0,AVERAGE(B51:K51),NA())</f>
        <v/>
      </c>
      <c r="N51" s="6">
        <f>IF(L51&gt;0,MAX(B51:K51)-MIN(B51:K51),NA())</f>
        <v/>
      </c>
      <c r="O51" s="6">
        <f>$C$3</f>
        <v/>
      </c>
      <c r="P51" s="6">
        <f>$C$3+$E$3*$D$3</f>
        <v/>
      </c>
      <c r="Q51" s="6">
        <f>$C$3-$E$3*$D$3</f>
        <v/>
      </c>
      <c r="R51" s="6">
        <f>$D$3</f>
        <v/>
      </c>
      <c r="S51" s="6">
        <f>$G$3*$D$3</f>
        <v/>
      </c>
      <c r="T51" s="6">
        <f>$F$3*$D$3</f>
        <v/>
      </c>
      <c r="U51">
        <f>IF(L51&gt;0,IF(OR(M51&gt;P51,M51&lt;Q51,N51&gt;S51),"OUT",""),"")</f>
        <v/>
      </c>
    </row>
    <row r="52">
      <c r="A52" t="n">
        <v>47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>
        <f>COUNT(B52:K52)</f>
        <v/>
      </c>
      <c r="M52" s="6">
        <f>IF(L52&gt;0,AVERAGE(B52:K52),NA())</f>
        <v/>
      </c>
      <c r="N52" s="6">
        <f>IF(L52&gt;0,MAX(B52:K52)-MIN(B52:K52),NA())</f>
        <v/>
      </c>
      <c r="O52" s="6">
        <f>$C$3</f>
        <v/>
      </c>
      <c r="P52" s="6">
        <f>$C$3+$E$3*$D$3</f>
        <v/>
      </c>
      <c r="Q52" s="6">
        <f>$C$3-$E$3*$D$3</f>
        <v/>
      </c>
      <c r="R52" s="6">
        <f>$D$3</f>
        <v/>
      </c>
      <c r="S52" s="6">
        <f>$G$3*$D$3</f>
        <v/>
      </c>
      <c r="T52" s="6">
        <f>$F$3*$D$3</f>
        <v/>
      </c>
      <c r="U52">
        <f>IF(L52&gt;0,IF(OR(M52&gt;P52,M52&lt;Q52,N52&gt;S52),"OUT",""),"")</f>
        <v/>
      </c>
    </row>
    <row r="53">
      <c r="A53" t="n">
        <v>48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>
        <f>COUNT(B53:K53)</f>
        <v/>
      </c>
      <c r="M53" s="6">
        <f>IF(L53&gt;0,AVERAGE(B53:K53),NA())</f>
        <v/>
      </c>
      <c r="N53" s="6">
        <f>IF(L53&gt;0,MAX(B53:K53)-MIN(B53:K53),NA())</f>
        <v/>
      </c>
      <c r="O53" s="6">
        <f>$C$3</f>
        <v/>
      </c>
      <c r="P53" s="6">
        <f>$C$3+$E$3*$D$3</f>
        <v/>
      </c>
      <c r="Q53" s="6">
        <f>$C$3-$E$3*$D$3</f>
        <v/>
      </c>
      <c r="R53" s="6">
        <f>$D$3</f>
        <v/>
      </c>
      <c r="S53" s="6">
        <f>$G$3*$D$3</f>
        <v/>
      </c>
      <c r="T53" s="6">
        <f>$F$3*$D$3</f>
        <v/>
      </c>
      <c r="U53">
        <f>IF(L53&gt;0,IF(OR(M53&gt;P53,M53&lt;Q53,N53&gt;S53),"OUT",""),"")</f>
        <v/>
      </c>
    </row>
    <row r="54">
      <c r="A54" t="n">
        <v>49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>
        <f>COUNT(B54:K54)</f>
        <v/>
      </c>
      <c r="M54" s="6">
        <f>IF(L54&gt;0,AVERAGE(B54:K54),NA())</f>
        <v/>
      </c>
      <c r="N54" s="6">
        <f>IF(L54&gt;0,MAX(B54:K54)-MIN(B54:K54),NA())</f>
        <v/>
      </c>
      <c r="O54" s="6">
        <f>$C$3</f>
        <v/>
      </c>
      <c r="P54" s="6">
        <f>$C$3+$E$3*$D$3</f>
        <v/>
      </c>
      <c r="Q54" s="6">
        <f>$C$3-$E$3*$D$3</f>
        <v/>
      </c>
      <c r="R54" s="6">
        <f>$D$3</f>
        <v/>
      </c>
      <c r="S54" s="6">
        <f>$G$3*$D$3</f>
        <v/>
      </c>
      <c r="T54" s="6">
        <f>$F$3*$D$3</f>
        <v/>
      </c>
      <c r="U54">
        <f>IF(L54&gt;0,IF(OR(M54&gt;P54,M54&lt;Q54,N54&gt;S54),"OUT",""),"")</f>
        <v/>
      </c>
    </row>
    <row r="55">
      <c r="A55" t="n">
        <v>50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>
        <f>COUNT(B55:K55)</f>
        <v/>
      </c>
      <c r="M55" s="6">
        <f>IF(L55&gt;0,AVERAGE(B55:K55),NA())</f>
        <v/>
      </c>
      <c r="N55" s="6">
        <f>IF(L55&gt;0,MAX(B55:K55)-MIN(B55:K55),NA())</f>
        <v/>
      </c>
      <c r="O55" s="6">
        <f>$C$3</f>
        <v/>
      </c>
      <c r="P55" s="6">
        <f>$C$3+$E$3*$D$3</f>
        <v/>
      </c>
      <c r="Q55" s="6">
        <f>$C$3-$E$3*$D$3</f>
        <v/>
      </c>
      <c r="R55" s="6">
        <f>$D$3</f>
        <v/>
      </c>
      <c r="S55" s="6">
        <f>$G$3*$D$3</f>
        <v/>
      </c>
      <c r="T55" s="6">
        <f>$F$3*$D$3</f>
        <v/>
      </c>
      <c r="U55">
        <f>IF(L55&gt;0,IF(OR(M55&gt;P55,M55&lt;Q55,N55&gt;S55),"OUT",""),"")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</t>
        </is>
      </c>
      <c r="B1" s="3" t="inlineStr">
        <is>
          <t>A2</t>
        </is>
      </c>
      <c r="C1" s="3" t="inlineStr">
        <is>
          <t>D3</t>
        </is>
      </c>
      <c r="D1" s="3" t="inlineStr">
        <is>
          <t>D4</t>
        </is>
      </c>
      <c r="E1" s="3" t="inlineStr">
        <is>
          <t>d2</t>
        </is>
      </c>
      <c r="F1" s="3" t="inlineStr">
        <is>
          <t>A3</t>
        </is>
      </c>
      <c r="G1" s="3" t="inlineStr">
        <is>
          <t>B3</t>
        </is>
      </c>
      <c r="H1" s="3" t="inlineStr">
        <is>
          <t>B4</t>
        </is>
      </c>
    </row>
    <row r="2">
      <c r="A2" s="7" t="n">
        <v>2</v>
      </c>
      <c r="B2" s="6" t="n">
        <v>1.879971205973255</v>
      </c>
      <c r="C2" s="6" t="n">
        <v>0</v>
      </c>
      <c r="D2" s="6" t="n">
        <v>3.266525361845435</v>
      </c>
      <c r="E2" s="6" t="n">
        <v>1.12837916709551</v>
      </c>
      <c r="F2" s="6" t="n">
        <v>2.658680776358274</v>
      </c>
      <c r="G2" s="6" t="n">
        <v>0</v>
      </c>
      <c r="H2" s="6" t="n">
        <v>3.266531919288603</v>
      </c>
    </row>
    <row r="3">
      <c r="A3" s="7" t="n">
        <v>3</v>
      </c>
      <c r="B3" s="6" t="n">
        <v>1.02332670794649</v>
      </c>
      <c r="C3" s="6" t="n">
        <v>0</v>
      </c>
      <c r="D3" s="6" t="n">
        <v>2.574648001144463</v>
      </c>
      <c r="E3" s="6" t="n">
        <v>1.692568750643267</v>
      </c>
      <c r="F3" s="6" t="n">
        <v>1.95441004761168</v>
      </c>
      <c r="G3" s="6" t="n">
        <v>0</v>
      </c>
      <c r="H3" s="6" t="n">
        <v>2.568169602631191</v>
      </c>
    </row>
    <row r="4">
      <c r="A4" s="7" t="n">
        <v>4</v>
      </c>
      <c r="B4" s="6" t="n">
        <v>0.7285971858947058</v>
      </c>
      <c r="C4" s="6" t="n">
        <v>0</v>
      </c>
      <c r="D4" s="6" t="n">
        <v>2.282039608300324</v>
      </c>
      <c r="E4" s="6" t="n">
        <v>2.058750746007925</v>
      </c>
      <c r="F4" s="6" t="n">
        <v>1.628102822756102</v>
      </c>
      <c r="G4" s="6" t="n">
        <v>0</v>
      </c>
      <c r="H4" s="6" t="n">
        <v>2.266047078850367</v>
      </c>
    </row>
    <row r="5">
      <c r="A5" s="7" t="n">
        <v>5</v>
      </c>
      <c r="B5" s="6" t="n">
        <v>0.5768193340850856</v>
      </c>
      <c r="C5" s="6" t="n">
        <v>0</v>
      </c>
      <c r="D5" s="6" t="n">
        <v>2.114522437596531</v>
      </c>
      <c r="E5" s="6" t="n">
        <v>2.32592894728104</v>
      </c>
      <c r="F5" s="6" t="n">
        <v>1.427299292922216</v>
      </c>
      <c r="G5" s="6" t="n">
        <v>0</v>
      </c>
      <c r="H5" s="6" t="n">
        <v>2.088997868630279</v>
      </c>
    </row>
    <row r="6">
      <c r="A6" s="7" t="n">
        <v>6</v>
      </c>
      <c r="B6" s="6" t="n">
        <v>0.4832460242705096</v>
      </c>
      <c r="C6" s="6" t="n">
        <v>0</v>
      </c>
      <c r="D6" s="6" t="n">
        <v>2.003782840378276</v>
      </c>
      <c r="E6" s="6" t="n">
        <v>2.53441272122294</v>
      </c>
      <c r="F6" s="6" t="n">
        <v>1.287128296214676</v>
      </c>
      <c r="G6" s="6" t="n">
        <v>0.03036320949596172</v>
      </c>
      <c r="H6" s="6" t="n">
        <v>1.969636790504038</v>
      </c>
    </row>
    <row r="7">
      <c r="A7" s="7" t="n">
        <v>7</v>
      </c>
      <c r="B7" s="6" t="n">
        <v>0.4192839641141095</v>
      </c>
      <c r="C7" s="6" t="n">
        <v>0.07571366134364843</v>
      </c>
      <c r="D7" s="6" t="n">
        <v>1.924286338656352</v>
      </c>
      <c r="E7" s="6" t="n">
        <v>2.704356751213812</v>
      </c>
      <c r="F7" s="6" t="n">
        <v>1.18191610190318</v>
      </c>
      <c r="G7" s="6" t="n">
        <v>0.1176850315414278</v>
      </c>
      <c r="H7" s="6" t="n">
        <v>1.882314968458572</v>
      </c>
    </row>
    <row r="8">
      <c r="A8" s="7" t="n">
        <v>8</v>
      </c>
      <c r="B8" s="6" t="n">
        <v>0.3725273755827948</v>
      </c>
      <c r="C8" s="6" t="n">
        <v>0.1362041755834733</v>
      </c>
      <c r="D8" s="6" t="n">
        <v>1.863795824416527</v>
      </c>
      <c r="E8" s="6" t="n">
        <v>2.847200612090555</v>
      </c>
      <c r="F8" s="6" t="n">
        <v>1.099095023398769</v>
      </c>
      <c r="G8" s="6" t="n">
        <v>0.1850895977596535</v>
      </c>
      <c r="H8" s="6" t="n">
        <v>1.814910402240347</v>
      </c>
    </row>
    <row r="9">
      <c r="A9" s="7" t="n">
        <v>9</v>
      </c>
      <c r="B9" s="6" t="n">
        <v>0.3366973524033667</v>
      </c>
      <c r="C9" s="6" t="n">
        <v>0.1840476361856812</v>
      </c>
      <c r="D9" s="6" t="n">
        <v>1.815952363814319</v>
      </c>
      <c r="E9" s="6" t="n">
        <v>2.970026324418466</v>
      </c>
      <c r="F9" s="6" t="n">
        <v>1.03166095277304</v>
      </c>
      <c r="G9" s="6" t="n">
        <v>0.2391328018049482</v>
      </c>
      <c r="H9" s="6" t="n">
        <v>1.760867198195052</v>
      </c>
    </row>
    <row r="10">
      <c r="A10" s="7" t="n">
        <v>10</v>
      </c>
      <c r="B10" s="6" t="n">
        <v>0.3082637252366107</v>
      </c>
      <c r="C10" s="6" t="n">
        <v>0.2229745715212785</v>
      </c>
      <c r="D10" s="6" t="n">
        <v>1.777025428478721</v>
      </c>
      <c r="E10" s="6" t="n">
        <v>3.077505461670338</v>
      </c>
      <c r="F10" s="6" t="n">
        <v>0.9753500771452305</v>
      </c>
      <c r="G10" s="6" t="n">
        <v>0.2837055564419941</v>
      </c>
      <c r="H10" s="6" t="n">
        <v>1.716294443558006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2026-10-29T18:08:10Z</dcterms:created>
  <dcterms:modified xmlns:dcterms="http://purl.org/dc/terms/" xmlns:xsi="http://www.w3.org/2001/XMLSchema-instance" xsi:type="dcterms:W3CDTF">2026-10-29T18:08:10Z</dcterms:modified>
</cp:coreProperties>
</file>