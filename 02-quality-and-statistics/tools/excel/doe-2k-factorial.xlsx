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^3 Fac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  <xf numFmtId="1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Effects (absolute size shows importance)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'2^3 Factorial'!B34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'2^3 Factorial'!$A$35:$A$41</f>
            </numRef>
          </cat>
          <val>
            <numRef>
              <f>'2^3 Factorial'!$B$35:$B$41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8" customWidth="1" min="7" max="7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Two-Level Full Factorial (2^3, 2 replicates)</t>
        </is>
      </c>
    </row>
    <row r="2">
      <c r="A2" s="2" t="inlineStr">
        <is>
          <t>Name the factors and their low and high settings, run the experiment in random order, and enter the responses in column J.</t>
        </is>
      </c>
    </row>
    <row r="3">
      <c r="A3" s="3" t="inlineStr">
        <is>
          <t>Factor</t>
        </is>
      </c>
      <c r="B3" s="3" t="inlineStr">
        <is>
          <t>Name</t>
        </is>
      </c>
      <c r="C3" s="3" t="inlineStr">
        <is>
          <t>Low (-1)</t>
        </is>
      </c>
      <c r="D3" s="3" t="inlineStr">
        <is>
          <t>High (+1)</t>
        </is>
      </c>
    </row>
    <row r="4">
      <c r="A4" t="inlineStr">
        <is>
          <t>A</t>
        </is>
      </c>
      <c r="B4" s="4" t="inlineStr">
        <is>
          <t>Temperature (C)</t>
        </is>
      </c>
      <c r="C4" s="4" t="n">
        <v>150</v>
      </c>
      <c r="D4" s="4" t="n">
        <v>200</v>
      </c>
    </row>
    <row r="5">
      <c r="A5" t="inlineStr">
        <is>
          <t>B</t>
        </is>
      </c>
      <c r="B5" s="4" t="inlineStr">
        <is>
          <t>Pressure (bar)</t>
        </is>
      </c>
      <c r="C5" s="4" t="n">
        <v>2</v>
      </c>
      <c r="D5" s="4" t="n">
        <v>4</v>
      </c>
    </row>
    <row r="6">
      <c r="A6" t="inlineStr">
        <is>
          <t>C</t>
        </is>
      </c>
      <c r="B6" s="4" t="inlineStr">
        <is>
          <t>Time (min)</t>
        </is>
      </c>
      <c r="C6" s="4" t="n">
        <v>10</v>
      </c>
      <c r="D6" s="4" t="n">
        <v>20</v>
      </c>
    </row>
    <row r="9">
      <c r="A9" s="3" t="inlineStr">
        <is>
          <t>Std order</t>
        </is>
      </c>
      <c r="B9" s="3" t="inlineStr">
        <is>
          <t>Replicate</t>
        </is>
      </c>
      <c r="C9" s="3" t="inlineStr">
        <is>
          <t>A</t>
        </is>
      </c>
      <c r="D9" s="3" t="inlineStr">
        <is>
          <t>B</t>
        </is>
      </c>
      <c r="E9" s="3" t="inlineStr">
        <is>
          <t>C</t>
        </is>
      </c>
      <c r="F9" s="3" t="inlineStr">
        <is>
          <t>AB</t>
        </is>
      </c>
      <c r="G9" s="3" t="inlineStr">
        <is>
          <t>AC</t>
        </is>
      </c>
      <c r="H9" s="3" t="inlineStr">
        <is>
          <t>BC</t>
        </is>
      </c>
      <c r="I9" s="3" t="inlineStr">
        <is>
          <t>ABC</t>
        </is>
      </c>
      <c r="J9" s="3" t="inlineStr">
        <is>
          <t>Response</t>
        </is>
      </c>
      <c r="K9" s="3" t="inlineStr">
        <is>
          <t>A setting</t>
        </is>
      </c>
      <c r="L9" s="3" t="inlineStr">
        <is>
          <t>B setting</t>
        </is>
      </c>
      <c r="M9" s="3" t="inlineStr">
        <is>
          <t>C setting</t>
        </is>
      </c>
    </row>
    <row r="10">
      <c r="A10" t="n">
        <v>1</v>
      </c>
      <c r="B10" t="n">
        <v>1</v>
      </c>
      <c r="C10" t="n">
        <v>-1</v>
      </c>
      <c r="D10" t="n">
        <v>-1</v>
      </c>
      <c r="E10" t="n">
        <v>-1</v>
      </c>
      <c r="F10">
        <f>C10*D10</f>
        <v/>
      </c>
      <c r="G10">
        <f>C10*E10</f>
        <v/>
      </c>
      <c r="H10">
        <f>D10*E10</f>
        <v/>
      </c>
      <c r="I10">
        <f>C10*D10*E10</f>
        <v/>
      </c>
      <c r="J10" s="4" t="n">
        <v>57.14</v>
      </c>
      <c r="K10">
        <f>($C$4+$D$4)/2+C10*($D$4-$C$4)/2</f>
        <v/>
      </c>
      <c r="L10">
        <f>($C$5+$D$5)/2+D10*($D$5-$C$5)/2</f>
        <v/>
      </c>
      <c r="M10">
        <f>($C$6+$D$6)/2+E10*($D$6-$C$6)/2</f>
        <v/>
      </c>
    </row>
    <row r="11">
      <c r="A11" t="n">
        <v>2</v>
      </c>
      <c r="B11" t="n">
        <v>1</v>
      </c>
      <c r="C11" t="n">
        <v>1</v>
      </c>
      <c r="D11" t="n">
        <v>-1</v>
      </c>
      <c r="E11" t="n">
        <v>-1</v>
      </c>
      <c r="F11">
        <f>C11*D11</f>
        <v/>
      </c>
      <c r="G11">
        <f>C11*E11</f>
        <v/>
      </c>
      <c r="H11">
        <f>D11*E11</f>
        <v/>
      </c>
      <c r="I11">
        <f>C11*D11*E11</f>
        <v/>
      </c>
      <c r="J11" s="4" t="n">
        <v>60.75</v>
      </c>
      <c r="K11">
        <f>($C$4+$D$4)/2+C11*($D$4-$C$4)/2</f>
        <v/>
      </c>
      <c r="L11">
        <f>($C$5+$D$5)/2+D11*($D$5-$C$5)/2</f>
        <v/>
      </c>
      <c r="M11">
        <f>($C$6+$D$6)/2+E11*($D$6-$C$6)/2</f>
        <v/>
      </c>
    </row>
    <row r="12">
      <c r="A12" t="n">
        <v>3</v>
      </c>
      <c r="B12" t="n">
        <v>1</v>
      </c>
      <c r="C12" t="n">
        <v>-1</v>
      </c>
      <c r="D12" t="n">
        <v>1</v>
      </c>
      <c r="E12" t="n">
        <v>-1</v>
      </c>
      <c r="F12">
        <f>C12*D12</f>
        <v/>
      </c>
      <c r="G12">
        <f>C12*E12</f>
        <v/>
      </c>
      <c r="H12">
        <f>D12*E12</f>
        <v/>
      </c>
      <c r="I12">
        <f>C12*D12*E12</f>
        <v/>
      </c>
      <c r="J12" s="4" t="n">
        <v>58.39</v>
      </c>
      <c r="K12">
        <f>($C$4+$D$4)/2+C12*($D$4-$C$4)/2</f>
        <v/>
      </c>
      <c r="L12">
        <f>($C$5+$D$5)/2+D12*($D$5-$C$5)/2</f>
        <v/>
      </c>
      <c r="M12">
        <f>($C$6+$D$6)/2+E12*($D$6-$C$6)/2</f>
        <v/>
      </c>
    </row>
    <row r="13">
      <c r="A13" t="n">
        <v>4</v>
      </c>
      <c r="B13" t="n">
        <v>1</v>
      </c>
      <c r="C13" t="n">
        <v>1</v>
      </c>
      <c r="D13" t="n">
        <v>1</v>
      </c>
      <c r="E13" t="n">
        <v>-1</v>
      </c>
      <c r="F13">
        <f>C13*D13</f>
        <v/>
      </c>
      <c r="G13">
        <f>C13*E13</f>
        <v/>
      </c>
      <c r="H13">
        <f>D13*E13</f>
        <v/>
      </c>
      <c r="I13">
        <f>C13*D13*E13</f>
        <v/>
      </c>
      <c r="J13" s="4" t="n">
        <v>65.69</v>
      </c>
      <c r="K13">
        <f>($C$4+$D$4)/2+C13*($D$4-$C$4)/2</f>
        <v/>
      </c>
      <c r="L13">
        <f>($C$5+$D$5)/2+D13*($D$5-$C$5)/2</f>
        <v/>
      </c>
      <c r="M13">
        <f>($C$6+$D$6)/2+E13*($D$6-$C$6)/2</f>
        <v/>
      </c>
    </row>
    <row r="14">
      <c r="A14" t="n">
        <v>5</v>
      </c>
      <c r="B14" t="n">
        <v>1</v>
      </c>
      <c r="C14" t="n">
        <v>-1</v>
      </c>
      <c r="D14" t="n">
        <v>-1</v>
      </c>
      <c r="E14" t="n">
        <v>1</v>
      </c>
      <c r="F14">
        <f>C14*D14</f>
        <v/>
      </c>
      <c r="G14">
        <f>C14*E14</f>
        <v/>
      </c>
      <c r="H14">
        <f>D14*E14</f>
        <v/>
      </c>
      <c r="I14">
        <f>C14*D14*E14</f>
        <v/>
      </c>
      <c r="J14" s="4" t="n">
        <v>56.66</v>
      </c>
      <c r="K14">
        <f>($C$4+$D$4)/2+C14*($D$4-$C$4)/2</f>
        <v/>
      </c>
      <c r="L14">
        <f>($C$5+$D$5)/2+D14*($D$5-$C$5)/2</f>
        <v/>
      </c>
      <c r="M14">
        <f>($C$6+$D$6)/2+E14*($D$6-$C$6)/2</f>
        <v/>
      </c>
    </row>
    <row r="15">
      <c r="A15" t="n">
        <v>6</v>
      </c>
      <c r="B15" t="n">
        <v>1</v>
      </c>
      <c r="C15" t="n">
        <v>1</v>
      </c>
      <c r="D15" t="n">
        <v>-1</v>
      </c>
      <c r="E15" t="n">
        <v>1</v>
      </c>
      <c r="F15">
        <f>C15*D15</f>
        <v/>
      </c>
      <c r="G15">
        <f>C15*E15</f>
        <v/>
      </c>
      <c r="H15">
        <f>D15*E15</f>
        <v/>
      </c>
      <c r="I15">
        <f>C15*D15*E15</f>
        <v/>
      </c>
      <c r="J15" s="4" t="n">
        <v>60.3</v>
      </c>
      <c r="K15">
        <f>($C$4+$D$4)/2+C15*($D$4-$C$4)/2</f>
        <v/>
      </c>
      <c r="L15">
        <f>($C$5+$D$5)/2+D15*($D$5-$C$5)/2</f>
        <v/>
      </c>
      <c r="M15">
        <f>($C$6+$D$6)/2+E15*($D$6-$C$6)/2</f>
        <v/>
      </c>
    </row>
    <row r="16">
      <c r="A16" t="n">
        <v>7</v>
      </c>
      <c r="B16" t="n">
        <v>1</v>
      </c>
      <c r="C16" t="n">
        <v>-1</v>
      </c>
      <c r="D16" t="n">
        <v>1</v>
      </c>
      <c r="E16" t="n">
        <v>1</v>
      </c>
      <c r="F16">
        <f>C16*D16</f>
        <v/>
      </c>
      <c r="G16">
        <f>C16*E16</f>
        <v/>
      </c>
      <c r="H16">
        <f>D16*E16</f>
        <v/>
      </c>
      <c r="I16">
        <f>C16*D16*E16</f>
        <v/>
      </c>
      <c r="J16" s="4" t="n">
        <v>57.12</v>
      </c>
      <c r="K16">
        <f>($C$4+$D$4)/2+C16*($D$4-$C$4)/2</f>
        <v/>
      </c>
      <c r="L16">
        <f>($C$5+$D$5)/2+D16*($D$5-$C$5)/2</f>
        <v/>
      </c>
      <c r="M16">
        <f>($C$6+$D$6)/2+E16*($D$6-$C$6)/2</f>
        <v/>
      </c>
    </row>
    <row r="17">
      <c r="A17" t="n">
        <v>8</v>
      </c>
      <c r="B17" t="n">
        <v>1</v>
      </c>
      <c r="C17" t="n">
        <v>1</v>
      </c>
      <c r="D17" t="n">
        <v>1</v>
      </c>
      <c r="E17" t="n">
        <v>1</v>
      </c>
      <c r="F17">
        <f>C17*D17</f>
        <v/>
      </c>
      <c r="G17">
        <f>C17*E17</f>
        <v/>
      </c>
      <c r="H17">
        <f>D17*E17</f>
        <v/>
      </c>
      <c r="I17">
        <f>C17*D17*E17</f>
        <v/>
      </c>
      <c r="J17" s="4" t="n">
        <v>65.3</v>
      </c>
      <c r="K17">
        <f>($C$4+$D$4)/2+C17*($D$4-$C$4)/2</f>
        <v/>
      </c>
      <c r="L17">
        <f>($C$5+$D$5)/2+D17*($D$5-$C$5)/2</f>
        <v/>
      </c>
      <c r="M17">
        <f>($C$6+$D$6)/2+E17*($D$6-$C$6)/2</f>
        <v/>
      </c>
    </row>
    <row r="18">
      <c r="A18" t="n">
        <v>1</v>
      </c>
      <c r="B18" t="n">
        <v>2</v>
      </c>
      <c r="C18" t="n">
        <v>-1</v>
      </c>
      <c r="D18" t="n">
        <v>-1</v>
      </c>
      <c r="E18" t="n">
        <v>-1</v>
      </c>
      <c r="F18">
        <f>C18*D18</f>
        <v/>
      </c>
      <c r="G18">
        <f>C18*E18</f>
        <v/>
      </c>
      <c r="H18">
        <f>D18*E18</f>
        <v/>
      </c>
      <c r="I18">
        <f>C18*D18*E18</f>
        <v/>
      </c>
      <c r="J18" s="4" t="n">
        <v>57.56</v>
      </c>
      <c r="K18">
        <f>($C$4+$D$4)/2+C18*($D$4-$C$4)/2</f>
        <v/>
      </c>
      <c r="L18">
        <f>($C$5+$D$5)/2+D18*($D$5-$C$5)/2</f>
        <v/>
      </c>
      <c r="M18">
        <f>($C$6+$D$6)/2+E18*($D$6-$C$6)/2</f>
        <v/>
      </c>
    </row>
    <row r="19">
      <c r="A19" t="n">
        <v>2</v>
      </c>
      <c r="B19" t="n">
        <v>2</v>
      </c>
      <c r="C19" t="n">
        <v>1</v>
      </c>
      <c r="D19" t="n">
        <v>-1</v>
      </c>
      <c r="E19" t="n">
        <v>-1</v>
      </c>
      <c r="F19">
        <f>C19*D19</f>
        <v/>
      </c>
      <c r="G19">
        <f>C19*E19</f>
        <v/>
      </c>
      <c r="H19">
        <f>D19*E19</f>
        <v/>
      </c>
      <c r="I19">
        <f>C19*D19*E19</f>
        <v/>
      </c>
      <c r="J19" s="4" t="n">
        <v>61.67</v>
      </c>
      <c r="K19">
        <f>($C$4+$D$4)/2+C19*($D$4-$C$4)/2</f>
        <v/>
      </c>
      <c r="L19">
        <f>($C$5+$D$5)/2+D19*($D$5-$C$5)/2</f>
        <v/>
      </c>
      <c r="M19">
        <f>($C$6+$D$6)/2+E19*($D$6-$C$6)/2</f>
        <v/>
      </c>
    </row>
    <row r="20">
      <c r="A20" t="n">
        <v>3</v>
      </c>
      <c r="B20" t="n">
        <v>2</v>
      </c>
      <c r="C20" t="n">
        <v>-1</v>
      </c>
      <c r="D20" t="n">
        <v>1</v>
      </c>
      <c r="E20" t="n">
        <v>-1</v>
      </c>
      <c r="F20">
        <f>C20*D20</f>
        <v/>
      </c>
      <c r="G20">
        <f>C20*E20</f>
        <v/>
      </c>
      <c r="H20">
        <f>D20*E20</f>
        <v/>
      </c>
      <c r="I20">
        <f>C20*D20*E20</f>
        <v/>
      </c>
      <c r="J20" s="4" t="n">
        <v>56.89</v>
      </c>
      <c r="K20">
        <f>($C$4+$D$4)/2+C20*($D$4-$C$4)/2</f>
        <v/>
      </c>
      <c r="L20">
        <f>($C$5+$D$5)/2+D20*($D$5-$C$5)/2</f>
        <v/>
      </c>
      <c r="M20">
        <f>($C$6+$D$6)/2+E20*($D$6-$C$6)/2</f>
        <v/>
      </c>
    </row>
    <row r="21">
      <c r="A21" t="n">
        <v>4</v>
      </c>
      <c r="B21" t="n">
        <v>2</v>
      </c>
      <c r="C21" t="n">
        <v>1</v>
      </c>
      <c r="D21" t="n">
        <v>1</v>
      </c>
      <c r="E21" t="n">
        <v>-1</v>
      </c>
      <c r="F21">
        <f>C21*D21</f>
        <v/>
      </c>
      <c r="G21">
        <f>C21*E21</f>
        <v/>
      </c>
      <c r="H21">
        <f>D21*E21</f>
        <v/>
      </c>
      <c r="I21">
        <f>C21*D21*E21</f>
        <v/>
      </c>
      <c r="J21" s="4" t="n">
        <v>64.70999999999999</v>
      </c>
      <c r="K21">
        <f>($C$4+$D$4)/2+C21*($D$4-$C$4)/2</f>
        <v/>
      </c>
      <c r="L21">
        <f>($C$5+$D$5)/2+D21*($D$5-$C$5)/2</f>
        <v/>
      </c>
      <c r="M21">
        <f>($C$6+$D$6)/2+E21*($D$6-$C$6)/2</f>
        <v/>
      </c>
    </row>
    <row r="22">
      <c r="A22" t="n">
        <v>5</v>
      </c>
      <c r="B22" t="n">
        <v>2</v>
      </c>
      <c r="C22" t="n">
        <v>-1</v>
      </c>
      <c r="D22" t="n">
        <v>-1</v>
      </c>
      <c r="E22" t="n">
        <v>1</v>
      </c>
      <c r="F22">
        <f>C22*D22</f>
        <v/>
      </c>
      <c r="G22">
        <f>C22*E22</f>
        <v/>
      </c>
      <c r="H22">
        <f>D22*E22</f>
        <v/>
      </c>
      <c r="I22">
        <f>C22*D22*E22</f>
        <v/>
      </c>
      <c r="J22" s="4" t="n">
        <v>56.86</v>
      </c>
      <c r="K22">
        <f>($C$4+$D$4)/2+C22*($D$4-$C$4)/2</f>
        <v/>
      </c>
      <c r="L22">
        <f>($C$5+$D$5)/2+D22*($D$5-$C$5)/2</f>
        <v/>
      </c>
      <c r="M22">
        <f>($C$6+$D$6)/2+E22*($D$6-$C$6)/2</f>
        <v/>
      </c>
    </row>
    <row r="23">
      <c r="A23" t="n">
        <v>6</v>
      </c>
      <c r="B23" t="n">
        <v>2</v>
      </c>
      <c r="C23" t="n">
        <v>1</v>
      </c>
      <c r="D23" t="n">
        <v>-1</v>
      </c>
      <c r="E23" t="n">
        <v>1</v>
      </c>
      <c r="F23">
        <f>C23*D23</f>
        <v/>
      </c>
      <c r="G23">
        <f>C23*E23</f>
        <v/>
      </c>
      <c r="H23">
        <f>D23*E23</f>
        <v/>
      </c>
      <c r="I23">
        <f>C23*D23*E23</f>
        <v/>
      </c>
      <c r="J23" s="4" t="n">
        <v>60.42</v>
      </c>
      <c r="K23">
        <f>($C$4+$D$4)/2+C23*($D$4-$C$4)/2</f>
        <v/>
      </c>
      <c r="L23">
        <f>($C$5+$D$5)/2+D23*($D$5-$C$5)/2</f>
        <v/>
      </c>
      <c r="M23">
        <f>($C$6+$D$6)/2+E23*($D$6-$C$6)/2</f>
        <v/>
      </c>
    </row>
    <row r="24">
      <c r="A24" t="n">
        <v>7</v>
      </c>
      <c r="B24" t="n">
        <v>2</v>
      </c>
      <c r="C24" t="n">
        <v>-1</v>
      </c>
      <c r="D24" t="n">
        <v>1</v>
      </c>
      <c r="E24" t="n">
        <v>1</v>
      </c>
      <c r="F24">
        <f>C24*D24</f>
        <v/>
      </c>
      <c r="G24">
        <f>C24*E24</f>
        <v/>
      </c>
      <c r="H24">
        <f>D24*E24</f>
        <v/>
      </c>
      <c r="I24">
        <f>C24*D24*E24</f>
        <v/>
      </c>
      <c r="J24" s="4" t="n">
        <v>56.93</v>
      </c>
      <c r="K24">
        <f>($C$4+$D$4)/2+C24*($D$4-$C$4)/2</f>
        <v/>
      </c>
      <c r="L24">
        <f>($C$5+$D$5)/2+D24*($D$5-$C$5)/2</f>
        <v/>
      </c>
      <c r="M24">
        <f>($C$6+$D$6)/2+E24*($D$6-$C$6)/2</f>
        <v/>
      </c>
    </row>
    <row r="25">
      <c r="A25" t="n">
        <v>8</v>
      </c>
      <c r="B25" t="n">
        <v>2</v>
      </c>
      <c r="C25" t="n">
        <v>1</v>
      </c>
      <c r="D25" t="n">
        <v>1</v>
      </c>
      <c r="E25" t="n">
        <v>1</v>
      </c>
      <c r="F25">
        <f>C25*D25</f>
        <v/>
      </c>
      <c r="G25">
        <f>C25*E25</f>
        <v/>
      </c>
      <c r="H25">
        <f>D25*E25</f>
        <v/>
      </c>
      <c r="I25">
        <f>C25*D25*E25</f>
        <v/>
      </c>
      <c r="J25" s="4" t="n">
        <v>65.43000000000001</v>
      </c>
      <c r="K25">
        <f>($C$4+$D$4)/2+C25*($D$4-$C$4)/2</f>
        <v/>
      </c>
      <c r="L25">
        <f>($C$5+$D$5)/2+D25*($D$5-$C$5)/2</f>
        <v/>
      </c>
      <c r="M25">
        <f>($C$6+$D$6)/2+E25*($D$6-$C$6)/2</f>
        <v/>
      </c>
    </row>
    <row r="28">
      <c r="A28" s="5" t="inlineStr">
        <is>
          <t>Runs (N)</t>
        </is>
      </c>
      <c r="B28" s="6">
        <f>COUNT($J$10:$J$25)</f>
        <v/>
      </c>
    </row>
    <row r="29">
      <c r="A29" s="5" t="inlineStr">
        <is>
          <t>Grand mean</t>
        </is>
      </c>
      <c r="B29" s="7">
        <f>AVERAGE($J$10:$J$25)</f>
        <v/>
      </c>
    </row>
    <row r="30">
      <c r="A30" s="5" t="inlineStr">
        <is>
          <t>SS total</t>
        </is>
      </c>
      <c r="B30" s="7">
        <f>DEVSQ($J$10:$J$25)</f>
        <v/>
      </c>
    </row>
    <row r="31">
      <c r="A31" s="5" t="inlineStr">
        <is>
          <t>SS error</t>
        </is>
      </c>
      <c r="B31" s="7">
        <f>B30-SUM(D35:D41)</f>
        <v/>
      </c>
    </row>
    <row r="32">
      <c r="A32" s="5" t="inlineStr">
        <is>
          <t>DF error</t>
        </is>
      </c>
      <c r="B32" s="6">
        <f>B28-1-7</f>
        <v/>
      </c>
    </row>
    <row r="33">
      <c r="A33" s="5" t="inlineStr">
        <is>
          <t>Std error of coefficient</t>
        </is>
      </c>
      <c r="B33" s="7">
        <f>SQRT(B31/B32/B28)</f>
        <v/>
      </c>
    </row>
    <row r="34">
      <c r="A34" s="3" t="inlineStr">
        <is>
          <t>Term</t>
        </is>
      </c>
      <c r="B34" s="3" t="inlineStr">
        <is>
          <t>Effect</t>
        </is>
      </c>
      <c r="C34" s="3" t="inlineStr">
        <is>
          <t>Coefficient</t>
        </is>
      </c>
      <c r="D34" s="3" t="inlineStr">
        <is>
          <t>SS</t>
        </is>
      </c>
      <c r="E34" s="3" t="inlineStr">
        <is>
          <t>t</t>
        </is>
      </c>
      <c r="F34" s="3" t="inlineStr">
        <is>
          <t>p</t>
        </is>
      </c>
      <c r="G34" s="3" t="inlineStr">
        <is>
          <t>Significant (p&lt;0.05)</t>
        </is>
      </c>
    </row>
    <row r="35">
      <c r="A35" s="8" t="inlineStr">
        <is>
          <t>A</t>
        </is>
      </c>
      <c r="B35" s="9">
        <f>SUMPRODUCT($C$10:$C$25,$J$10:$J$25)/($B$28/2)</f>
        <v/>
      </c>
      <c r="C35" s="9">
        <f>B35/2</f>
        <v/>
      </c>
      <c r="D35" s="9">
        <f>SUMPRODUCT($C$10:$C$25,$J$10:$J$25)^2/$B$28</f>
        <v/>
      </c>
      <c r="E35" s="9">
        <f>C35/$B$33</f>
        <v/>
      </c>
      <c r="F35" s="9">
        <f>TDIST(ABS(E35),$B$32,2)</f>
        <v/>
      </c>
      <c r="G35" s="8">
        <f>IF(F35&lt;0.05,"Yes","")</f>
        <v/>
      </c>
    </row>
    <row r="36">
      <c r="A36" s="8" t="inlineStr">
        <is>
          <t>B</t>
        </is>
      </c>
      <c r="B36" s="9">
        <f>SUMPRODUCT($D$10:$D$25,$J$10:$J$25)/($B$28/2)</f>
        <v/>
      </c>
      <c r="C36" s="9">
        <f>B36/2</f>
        <v/>
      </c>
      <c r="D36" s="9">
        <f>SUMPRODUCT($D$10:$D$25,$J$10:$J$25)^2/$B$28</f>
        <v/>
      </c>
      <c r="E36" s="9">
        <f>C36/$B$33</f>
        <v/>
      </c>
      <c r="F36" s="9">
        <f>TDIST(ABS(E36),$B$32,2)</f>
        <v/>
      </c>
      <c r="G36" s="8">
        <f>IF(F36&lt;0.05,"Yes","")</f>
        <v/>
      </c>
    </row>
    <row r="37">
      <c r="A37" s="8" t="inlineStr">
        <is>
          <t>C</t>
        </is>
      </c>
      <c r="B37" s="9">
        <f>SUMPRODUCT($E$10:$E$25,$J$10:$J$25)/($B$28/2)</f>
        <v/>
      </c>
      <c r="C37" s="9">
        <f>B37/2</f>
        <v/>
      </c>
      <c r="D37" s="9">
        <f>SUMPRODUCT($E$10:$E$25,$J$10:$J$25)^2/$B$28</f>
        <v/>
      </c>
      <c r="E37" s="9">
        <f>C37/$B$33</f>
        <v/>
      </c>
      <c r="F37" s="9">
        <f>TDIST(ABS(E37),$B$32,2)</f>
        <v/>
      </c>
      <c r="G37" s="8">
        <f>IF(F37&lt;0.05,"Yes","")</f>
        <v/>
      </c>
    </row>
    <row r="38">
      <c r="A38" s="8" t="inlineStr">
        <is>
          <t>AB</t>
        </is>
      </c>
      <c r="B38" s="9">
        <f>SUMPRODUCT($F$10:$F$25,$J$10:$J$25)/($B$28/2)</f>
        <v/>
      </c>
      <c r="C38" s="9">
        <f>B38/2</f>
        <v/>
      </c>
      <c r="D38" s="9">
        <f>SUMPRODUCT($F$10:$F$25,$J$10:$J$25)^2/$B$28</f>
        <v/>
      </c>
      <c r="E38" s="9">
        <f>C38/$B$33</f>
        <v/>
      </c>
      <c r="F38" s="9">
        <f>TDIST(ABS(E38),$B$32,2)</f>
        <v/>
      </c>
      <c r="G38" s="8">
        <f>IF(F38&lt;0.05,"Yes","")</f>
        <v/>
      </c>
    </row>
    <row r="39">
      <c r="A39" s="8" t="inlineStr">
        <is>
          <t>AC</t>
        </is>
      </c>
      <c r="B39" s="9">
        <f>SUMPRODUCT($G$10:$G$25,$J$10:$J$25)/($B$28/2)</f>
        <v/>
      </c>
      <c r="C39" s="9">
        <f>B39/2</f>
        <v/>
      </c>
      <c r="D39" s="9">
        <f>SUMPRODUCT($G$10:$G$25,$J$10:$J$25)^2/$B$28</f>
        <v/>
      </c>
      <c r="E39" s="9">
        <f>C39/$B$33</f>
        <v/>
      </c>
      <c r="F39" s="9">
        <f>TDIST(ABS(E39),$B$32,2)</f>
        <v/>
      </c>
      <c r="G39" s="8">
        <f>IF(F39&lt;0.05,"Yes","")</f>
        <v/>
      </c>
    </row>
    <row r="40">
      <c r="A40" s="8" t="inlineStr">
        <is>
          <t>BC</t>
        </is>
      </c>
      <c r="B40" s="9">
        <f>SUMPRODUCT($H$10:$H$25,$J$10:$J$25)/($B$28/2)</f>
        <v/>
      </c>
      <c r="C40" s="9">
        <f>B40/2</f>
        <v/>
      </c>
      <c r="D40" s="9">
        <f>SUMPRODUCT($H$10:$H$25,$J$10:$J$25)^2/$B$28</f>
        <v/>
      </c>
      <c r="E40" s="9">
        <f>C40/$B$33</f>
        <v/>
      </c>
      <c r="F40" s="9">
        <f>TDIST(ABS(E40),$B$32,2)</f>
        <v/>
      </c>
      <c r="G40" s="8">
        <f>IF(F40&lt;0.05,"Yes","")</f>
        <v/>
      </c>
    </row>
    <row r="41">
      <c r="A41" s="8" t="inlineStr">
        <is>
          <t>ABC</t>
        </is>
      </c>
      <c r="B41" s="9">
        <f>SUMPRODUCT($I$10:$I$25,$J$10:$J$25)/($B$28/2)</f>
        <v/>
      </c>
      <c r="C41" s="9">
        <f>B41/2</f>
        <v/>
      </c>
      <c r="D41" s="9">
        <f>SUMPRODUCT($I$10:$I$25,$J$10:$J$25)^2/$B$28</f>
        <v/>
      </c>
      <c r="E41" s="9">
        <f>C41/$B$33</f>
        <v/>
      </c>
      <c r="F41" s="9">
        <f>TDIST(ABS(E41),$B$32,2)</f>
        <v/>
      </c>
      <c r="G41" s="8">
        <f>IF(F41&lt;0.05,"Yes","")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