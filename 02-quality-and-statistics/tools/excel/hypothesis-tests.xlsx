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0" fontId="4" fillId="0" borderId="0" pivotButton="0" quotePrefix="0" xfId="0"/>
    <xf numFmtId="1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165" fontId="0" fillId="4" borderId="1" pivotButton="0" quotePrefix="0" xfId="0"/>
    <xf numFmtId="4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2" customWidth="1" min="4" max="4"/>
    <col width="26" customWidth="1" min="5" max="5"/>
  </cols>
  <sheetData>
    <row r="1">
      <c r="A1" s="1" t="inlineStr">
        <is>
          <t>Before / After Comparison (t-tests)</t>
        </is>
      </c>
    </row>
    <row r="2">
      <c r="A2" s="2" t="inlineStr">
        <is>
          <t>Paste up to 200 values per group. Paired tests need the same number of values in each column, in matching order.</t>
        </is>
      </c>
    </row>
    <row r="4">
      <c r="A4" s="3" t="inlineStr">
        <is>
          <t>Before</t>
        </is>
      </c>
      <c r="B4" s="3" t="inlineStr">
        <is>
          <t>After</t>
        </is>
      </c>
      <c r="D4" s="3" t="inlineStr">
        <is>
          <t>Statistic</t>
        </is>
      </c>
      <c r="E4" s="3" t="inlineStr">
        <is>
          <t>Result</t>
        </is>
      </c>
    </row>
    <row r="5">
      <c r="A5" s="4" t="n">
        <v>13.82</v>
      </c>
      <c r="B5" s="4" t="n">
        <v>11.57</v>
      </c>
      <c r="D5" s="5" t="inlineStr">
        <is>
          <t>n before</t>
        </is>
      </c>
      <c r="E5" s="6">
        <f>COUNT(A5:A204)</f>
        <v/>
      </c>
    </row>
    <row r="6">
      <c r="A6" s="4" t="n">
        <v>14.18</v>
      </c>
      <c r="B6" s="4" t="n">
        <v>13.3</v>
      </c>
      <c r="D6" s="5" t="inlineStr">
        <is>
          <t>n after</t>
        </is>
      </c>
      <c r="E6" s="6">
        <f>COUNT(B5:B204)</f>
        <v/>
      </c>
    </row>
    <row r="7">
      <c r="A7" s="4" t="n">
        <v>11.21</v>
      </c>
      <c r="B7" s="4" t="n">
        <v>11.22</v>
      </c>
      <c r="D7" s="5" t="inlineStr">
        <is>
          <t>Mean before</t>
        </is>
      </c>
      <c r="E7" s="7">
        <f>AVERAGE(A5:A204)</f>
        <v/>
      </c>
    </row>
    <row r="8">
      <c r="A8" s="4" t="n">
        <v>13.01</v>
      </c>
      <c r="B8" s="4" t="n">
        <v>10.62</v>
      </c>
      <c r="D8" s="5" t="inlineStr">
        <is>
          <t>Mean after</t>
        </is>
      </c>
      <c r="E8" s="7">
        <f>AVERAGE(B5:B204)</f>
        <v/>
      </c>
    </row>
    <row r="9">
      <c r="A9" s="4" t="n">
        <v>13.58</v>
      </c>
      <c r="B9" s="4" t="n">
        <v>12.46</v>
      </c>
      <c r="D9" s="5" t="inlineStr">
        <is>
          <t>Std dev before</t>
        </is>
      </c>
      <c r="E9" s="7">
        <f>STDEV(A5:A204)</f>
        <v/>
      </c>
    </row>
    <row r="10">
      <c r="A10" s="4" t="n">
        <v>12.42</v>
      </c>
      <c r="B10" s="4" t="n">
        <v>11.74</v>
      </c>
      <c r="D10" s="5" t="inlineStr">
        <is>
          <t>Std dev after</t>
        </is>
      </c>
      <c r="E10" s="7">
        <f>STDEV(B5:B204)</f>
        <v/>
      </c>
    </row>
    <row r="11">
      <c r="A11" s="4" t="n">
        <v>11.07</v>
      </c>
      <c r="B11" s="4" t="n">
        <v>12.23</v>
      </c>
      <c r="D11" s="5" t="inlineStr">
        <is>
          <t>Difference (before - after)</t>
        </is>
      </c>
      <c r="E11" s="7">
        <f>E7-E8</f>
        <v/>
      </c>
    </row>
    <row r="12">
      <c r="A12" s="4" t="n">
        <v>10.05</v>
      </c>
      <c r="B12" s="4" t="n">
        <v>11.48</v>
      </c>
      <c r="D12" s="5" t="inlineStr">
        <is>
          <t>Welch t</t>
        </is>
      </c>
      <c r="E12" s="7">
        <f>E11/SQRT(E9^2/E5+E10^2/E6)</f>
        <v/>
      </c>
    </row>
    <row r="13">
      <c r="A13" s="4" t="n">
        <v>12.37</v>
      </c>
      <c r="B13" s="4" t="n">
        <v>13.32</v>
      </c>
      <c r="D13" s="5" t="inlineStr">
        <is>
          <t>Welch df</t>
        </is>
      </c>
      <c r="E13" s="8">
        <f>(E9^2/E5+E10^2/E6)^2/((E9^2/E5)^2/(E5-1)+(E10^2/E6)^2/(E6-1))</f>
        <v/>
      </c>
    </row>
    <row r="14">
      <c r="A14" s="4" t="n">
        <v>13.01</v>
      </c>
      <c r="B14" s="4" t="n">
        <v>10.9</v>
      </c>
      <c r="D14" s="5" t="inlineStr">
        <is>
          <t>Welch p (two-sided)</t>
        </is>
      </c>
      <c r="E14" s="9">
        <f>TTEST(A5:A204,B5:B204,2,3)</f>
        <v/>
      </c>
    </row>
    <row r="15">
      <c r="A15" s="4" t="n">
        <v>11.96</v>
      </c>
      <c r="B15" s="4" t="n">
        <v>10.81</v>
      </c>
      <c r="D15" s="5" t="inlineStr">
        <is>
          <t>Pooled (equal variance) p</t>
        </is>
      </c>
      <c r="E15" s="9">
        <f>TTEST(A5:A204,B5:B204,2,2)</f>
        <v/>
      </c>
    </row>
    <row r="16">
      <c r="A16" s="4" t="n">
        <v>14.86</v>
      </c>
      <c r="B16" s="4" t="n">
        <v>12.77</v>
      </c>
      <c r="D16" s="5" t="inlineStr">
        <is>
          <t>Paired p (two-sided)</t>
        </is>
      </c>
      <c r="E16" s="9">
        <f>TTEST(A5:A204,B5:B204,2,1)</f>
        <v/>
      </c>
    </row>
    <row r="17">
      <c r="A17" s="4" t="n">
        <v>12.06</v>
      </c>
      <c r="B17" s="4" t="n">
        <v>13.25</v>
      </c>
      <c r="D17" s="5" t="inlineStr">
        <is>
          <t>F-test for equal variances p</t>
        </is>
      </c>
      <c r="E17" s="9">
        <f>FTEST(A5:A204,B5:B204)</f>
        <v/>
      </c>
    </row>
    <row r="18">
      <c r="A18" s="4" t="n">
        <v>12.04</v>
      </c>
      <c r="B18" s="4" t="n">
        <v>10.77</v>
      </c>
      <c r="D18" s="5" t="inlineStr">
        <is>
          <t>Conclusion (alpha 0.05)</t>
        </is>
      </c>
      <c r="E18" s="10">
        <f>IF(E14&lt;0.05,"Means differ","No evidence the means differ")</f>
        <v/>
      </c>
    </row>
    <row r="19">
      <c r="A19" s="4" t="n">
        <v>12.71</v>
      </c>
      <c r="B19" s="4" t="n">
        <v>11.06</v>
      </c>
    </row>
    <row r="20">
      <c r="A20" s="4" t="n">
        <v>12.13</v>
      </c>
      <c r="B20" s="4" t="n">
        <v>11.6</v>
      </c>
    </row>
    <row r="21">
      <c r="A21" s="4" t="n">
        <v>11.94</v>
      </c>
      <c r="B21" s="4" t="n">
        <v>10.71</v>
      </c>
    </row>
    <row r="22">
      <c r="A22" s="4" t="n">
        <v>12.51</v>
      </c>
      <c r="B22" s="4" t="n">
        <v>12.35</v>
      </c>
    </row>
    <row r="23">
      <c r="A23" s="4" t="n">
        <v>12.96</v>
      </c>
      <c r="B23" s="4" t="n">
        <v>10.68</v>
      </c>
    </row>
    <row r="24">
      <c r="A24" s="4" t="n">
        <v>11.27</v>
      </c>
      <c r="B24" s="4" t="n">
        <v>11.95</v>
      </c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