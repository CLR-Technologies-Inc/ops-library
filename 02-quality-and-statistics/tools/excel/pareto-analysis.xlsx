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'Pareto'!$F$5:$F$12</f>
            </numRef>
          </cat>
          <val>
            <numRef>
              <f>'Pareto'!$G$5:$G$12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'Pareto'!I4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val>
            <numRef>
              <f>'Pareto'!$I$5:$I$12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6" customWidth="1" min="5" max="5"/>
    <col width="18" customWidth="1" min="6" max="6"/>
    <col width="8" customWidth="1" min="7" max="7"/>
    <col width="9" customWidth="1" min="8" max="8"/>
    <col width="13" customWidth="1" min="9" max="9"/>
    <col width="14" customWidth="1" min="10" max="10"/>
  </cols>
  <sheetData>
    <row r="1">
      <c r="A1" s="1" t="inlineStr">
        <is>
          <t>Pareto Analysis</t>
        </is>
      </c>
    </row>
    <row r="2">
      <c r="A2" s="2" t="inlineStr">
        <is>
          <t>Enter categories and counts in any order (up to 30). The sorted table and chart update automatically.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Sort key</t>
        </is>
      </c>
      <c r="E4" s="3" t="inlineStr">
        <is>
          <t>Rank</t>
        </is>
      </c>
      <c r="F4" s="3" t="inlineStr">
        <is>
          <t>Category</t>
        </is>
      </c>
      <c r="G4" s="3" t="inlineStr">
        <is>
          <t>Count</t>
        </is>
      </c>
      <c r="H4" s="3" t="inlineStr">
        <is>
          <t>Percent</t>
        </is>
      </c>
      <c r="I4" s="3" t="inlineStr">
        <is>
          <t>Cumulative %</t>
        </is>
      </c>
      <c r="J4" s="3" t="inlineStr">
        <is>
          <t>Vital few (80%)</t>
        </is>
      </c>
    </row>
    <row r="5">
      <c r="A5" s="4" t="inlineStr">
        <is>
          <t>Scratch</t>
        </is>
      </c>
      <c r="B5" s="4" t="n">
        <v>48</v>
      </c>
      <c r="C5">
        <f>IF(ISNUMBER(B5),B5+(100-ROW())/1000000,"")</f>
        <v/>
      </c>
      <c r="E5" t="n">
        <v>1</v>
      </c>
      <c r="F5">
        <f>IF(E5&lt;=COUNT($C$5:$C$34),INDEX($A$5:$A$34,MATCH(LARGE($C$5:$C$34,E5),$C$5:$C$34,0)),"")</f>
        <v/>
      </c>
      <c r="G5">
        <f>IF(F5="","",INDEX($B$5:$B$34,MATCH(LARGE($C$5:$C$34,E5),$C$5:$C$34,0)))</f>
        <v/>
      </c>
      <c r="H5" s="5">
        <f>IF(F5="","",G5/SUM($B$5:$B$34))</f>
        <v/>
      </c>
      <c r="I5" s="5">
        <f>IF(F5="","",SUM($G$5:G5)/SUM($B$5:$B$34))</f>
        <v/>
      </c>
      <c r="J5">
        <f>IF(F5="","",IF(I5-H5&lt;0.8,"Yes",""))</f>
        <v/>
      </c>
    </row>
    <row r="6">
      <c r="A6" s="4" t="inlineStr">
        <is>
          <t>Dent</t>
        </is>
      </c>
      <c r="B6" s="4" t="n">
        <v>31</v>
      </c>
      <c r="C6">
        <f>IF(ISNUMBER(B6),B6+(100-ROW())/1000000,"")</f>
        <v/>
      </c>
      <c r="E6" t="n">
        <v>2</v>
      </c>
      <c r="F6">
        <f>IF(E6&lt;=COUNT($C$5:$C$34),INDEX($A$5:$A$34,MATCH(LARGE($C$5:$C$34,E6),$C$5:$C$34,0)),"")</f>
        <v/>
      </c>
      <c r="G6">
        <f>IF(F6="","",INDEX($B$5:$B$34,MATCH(LARGE($C$5:$C$34,E6),$C$5:$C$34,0)))</f>
        <v/>
      </c>
      <c r="H6" s="5">
        <f>IF(F6="","",G6/SUM($B$5:$B$34))</f>
        <v/>
      </c>
      <c r="I6" s="5">
        <f>IF(F6="","",SUM($G$5:G6)/SUM($B$5:$B$34))</f>
        <v/>
      </c>
      <c r="J6">
        <f>IF(F6="","",IF(I6-H6&lt;0.8,"Yes",""))</f>
        <v/>
      </c>
    </row>
    <row r="7">
      <c r="A7" s="4" t="inlineStr">
        <is>
          <t>Wrong dimension</t>
        </is>
      </c>
      <c r="B7" s="4" t="n">
        <v>112</v>
      </c>
      <c r="C7">
        <f>IF(ISNUMBER(B7),B7+(100-ROW())/1000000,"")</f>
        <v/>
      </c>
      <c r="E7" t="n">
        <v>3</v>
      </c>
      <c r="F7">
        <f>IF(E7&lt;=COUNT($C$5:$C$34),INDEX($A$5:$A$34,MATCH(LARGE($C$5:$C$34,E7),$C$5:$C$34,0)),"")</f>
        <v/>
      </c>
      <c r="G7">
        <f>IF(F7="","",INDEX($B$5:$B$34,MATCH(LARGE($C$5:$C$34,E7),$C$5:$C$34,0)))</f>
        <v/>
      </c>
      <c r="H7" s="5">
        <f>IF(F7="","",G7/SUM($B$5:$B$34))</f>
        <v/>
      </c>
      <c r="I7" s="5">
        <f>IF(F7="","",SUM($G$5:G7)/SUM($B$5:$B$34))</f>
        <v/>
      </c>
      <c r="J7">
        <f>IF(F7="","",IF(I7-H7&lt;0.8,"Yes",""))</f>
        <v/>
      </c>
    </row>
    <row r="8">
      <c r="A8" s="4" t="inlineStr">
        <is>
          <t>Burr</t>
        </is>
      </c>
      <c r="B8" s="4" t="n">
        <v>22</v>
      </c>
      <c r="C8">
        <f>IF(ISNUMBER(B8),B8+(100-ROW())/1000000,"")</f>
        <v/>
      </c>
      <c r="E8" t="n">
        <v>4</v>
      </c>
      <c r="F8">
        <f>IF(E8&lt;=COUNT($C$5:$C$34),INDEX($A$5:$A$34,MATCH(LARGE($C$5:$C$34,E8),$C$5:$C$34,0)),"")</f>
        <v/>
      </c>
      <c r="G8">
        <f>IF(F8="","",INDEX($B$5:$B$34,MATCH(LARGE($C$5:$C$34,E8),$C$5:$C$34,0)))</f>
        <v/>
      </c>
      <c r="H8" s="5">
        <f>IF(F8="","",G8/SUM($B$5:$B$34))</f>
        <v/>
      </c>
      <c r="I8" s="5">
        <f>IF(F8="","",SUM($G$5:G8)/SUM($B$5:$B$34))</f>
        <v/>
      </c>
      <c r="J8">
        <f>IF(F8="","",IF(I8-H8&lt;0.8,"Yes",""))</f>
        <v/>
      </c>
    </row>
    <row r="9">
      <c r="A9" s="4" t="inlineStr">
        <is>
          <t>Missing hole</t>
        </is>
      </c>
      <c r="B9" s="4" t="n">
        <v>9</v>
      </c>
      <c r="C9">
        <f>IF(ISNUMBER(B9),B9+(100-ROW())/1000000,"")</f>
        <v/>
      </c>
      <c r="E9" t="n">
        <v>5</v>
      </c>
      <c r="F9">
        <f>IF(E9&lt;=COUNT($C$5:$C$34),INDEX($A$5:$A$34,MATCH(LARGE($C$5:$C$34,E9),$C$5:$C$34,0)),"")</f>
        <v/>
      </c>
      <c r="G9">
        <f>IF(F9="","",INDEX($B$5:$B$34,MATCH(LARGE($C$5:$C$34,E9),$C$5:$C$34,0)))</f>
        <v/>
      </c>
      <c r="H9" s="5">
        <f>IF(F9="","",G9/SUM($B$5:$B$34))</f>
        <v/>
      </c>
      <c r="I9" s="5">
        <f>IF(F9="","",SUM($G$5:G9)/SUM($B$5:$B$34))</f>
        <v/>
      </c>
      <c r="J9">
        <f>IF(F9="","",IF(I9-H9&lt;0.8,"Yes",""))</f>
        <v/>
      </c>
    </row>
    <row r="10">
      <c r="A10" s="4" t="inlineStr">
        <is>
          <t>Discoloration</t>
        </is>
      </c>
      <c r="B10" s="4" t="n">
        <v>14</v>
      </c>
      <c r="C10">
        <f>IF(ISNUMBER(B10),B10+(100-ROW())/1000000,"")</f>
        <v/>
      </c>
      <c r="E10" t="n">
        <v>6</v>
      </c>
      <c r="F10">
        <f>IF(E10&lt;=COUNT($C$5:$C$34),INDEX($A$5:$A$34,MATCH(LARGE($C$5:$C$34,E10),$C$5:$C$34,0)),"")</f>
        <v/>
      </c>
      <c r="G10">
        <f>IF(F10="","",INDEX($B$5:$B$34,MATCH(LARGE($C$5:$C$34,E10),$C$5:$C$34,0)))</f>
        <v/>
      </c>
      <c r="H10" s="5">
        <f>IF(F10="","",G10/SUM($B$5:$B$34))</f>
        <v/>
      </c>
      <c r="I10" s="5">
        <f>IF(F10="","",SUM($G$5:G10)/SUM($B$5:$B$34))</f>
        <v/>
      </c>
      <c r="J10">
        <f>IF(F10="","",IF(I10-H10&lt;0.8,"Yes",""))</f>
        <v/>
      </c>
    </row>
    <row r="11">
      <c r="A11" s="4" t="inlineStr">
        <is>
          <t>Porosity</t>
        </is>
      </c>
      <c r="B11" s="4" t="n">
        <v>61</v>
      </c>
      <c r="C11">
        <f>IF(ISNUMBER(B11),B11+(100-ROW())/1000000,"")</f>
        <v/>
      </c>
      <c r="E11" t="n">
        <v>7</v>
      </c>
      <c r="F11">
        <f>IF(E11&lt;=COUNT($C$5:$C$34),INDEX($A$5:$A$34,MATCH(LARGE($C$5:$C$34,E11),$C$5:$C$34,0)),"")</f>
        <v/>
      </c>
      <c r="G11">
        <f>IF(F11="","",INDEX($B$5:$B$34,MATCH(LARGE($C$5:$C$34,E11),$C$5:$C$34,0)))</f>
        <v/>
      </c>
      <c r="H11" s="5">
        <f>IF(F11="","",G11/SUM($B$5:$B$34))</f>
        <v/>
      </c>
      <c r="I11" s="5">
        <f>IF(F11="","",SUM($G$5:G11)/SUM($B$5:$B$34))</f>
        <v/>
      </c>
      <c r="J11">
        <f>IF(F11="","",IF(I11-H11&lt;0.8,"Yes",""))</f>
        <v/>
      </c>
    </row>
    <row r="12">
      <c r="A12" s="4" t="inlineStr">
        <is>
          <t>Other</t>
        </is>
      </c>
      <c r="B12" s="4" t="n">
        <v>6</v>
      </c>
      <c r="C12">
        <f>IF(ISNUMBER(B12),B12+(100-ROW())/1000000,"")</f>
        <v/>
      </c>
      <c r="E12" t="n">
        <v>8</v>
      </c>
      <c r="F12">
        <f>IF(E12&lt;=COUNT($C$5:$C$34),INDEX($A$5:$A$34,MATCH(LARGE($C$5:$C$34,E12),$C$5:$C$34,0)),"")</f>
        <v/>
      </c>
      <c r="G12">
        <f>IF(F12="","",INDEX($B$5:$B$34,MATCH(LARGE($C$5:$C$34,E12),$C$5:$C$34,0)))</f>
        <v/>
      </c>
      <c r="H12" s="5">
        <f>IF(F12="","",G12/SUM($B$5:$B$34))</f>
        <v/>
      </c>
      <c r="I12" s="5">
        <f>IF(F12="","",SUM($G$5:G12)/SUM($B$5:$B$34))</f>
        <v/>
      </c>
      <c r="J12">
        <f>IF(F12="","",IF(I12-H12&lt;0.8,"Yes",""))</f>
        <v/>
      </c>
    </row>
    <row r="13">
      <c r="A13" s="4" t="n"/>
      <c r="B13" s="4" t="n"/>
      <c r="C13">
        <f>IF(ISNUMBER(B13),B13+(100-ROW())/1000000,"")</f>
        <v/>
      </c>
      <c r="E13" t="n">
        <v>9</v>
      </c>
      <c r="F13">
        <f>IF(E13&lt;=COUNT($C$5:$C$34),INDEX($A$5:$A$34,MATCH(LARGE($C$5:$C$34,E13),$C$5:$C$34,0)),"")</f>
        <v/>
      </c>
      <c r="G13">
        <f>IF(F13="","",INDEX($B$5:$B$34,MATCH(LARGE($C$5:$C$34,E13),$C$5:$C$34,0)))</f>
        <v/>
      </c>
      <c r="H13" s="5">
        <f>IF(F13="","",G13/SUM($B$5:$B$34))</f>
        <v/>
      </c>
      <c r="I13" s="5">
        <f>IF(F13="","",SUM($G$5:G13)/SUM($B$5:$B$34))</f>
        <v/>
      </c>
      <c r="J13">
        <f>IF(F13="","",IF(I13-H13&lt;0.8,"Yes",""))</f>
        <v/>
      </c>
    </row>
    <row r="14">
      <c r="A14" s="4" t="n"/>
      <c r="B14" s="4" t="n"/>
      <c r="C14">
        <f>IF(ISNUMBER(B14),B14+(100-ROW())/1000000,"")</f>
        <v/>
      </c>
      <c r="E14" t="n">
        <v>10</v>
      </c>
      <c r="F14">
        <f>IF(E14&lt;=COUNT($C$5:$C$34),INDEX($A$5:$A$34,MATCH(LARGE($C$5:$C$34,E14),$C$5:$C$34,0)),"")</f>
        <v/>
      </c>
      <c r="G14">
        <f>IF(F14="","",INDEX($B$5:$B$34,MATCH(LARGE($C$5:$C$34,E14),$C$5:$C$34,0)))</f>
        <v/>
      </c>
      <c r="H14" s="5">
        <f>IF(F14="","",G14/SUM($B$5:$B$34))</f>
        <v/>
      </c>
      <c r="I14" s="5">
        <f>IF(F14="","",SUM($G$5:G14)/SUM($B$5:$B$34))</f>
        <v/>
      </c>
      <c r="J14">
        <f>IF(F14="","",IF(I14-H14&lt;0.8,"Yes",""))</f>
        <v/>
      </c>
    </row>
    <row r="15">
      <c r="A15" s="4" t="n"/>
      <c r="B15" s="4" t="n"/>
      <c r="C15">
        <f>IF(ISNUMBER(B15),B15+(100-ROW())/1000000,"")</f>
        <v/>
      </c>
      <c r="E15" t="n">
        <v>11</v>
      </c>
      <c r="F15">
        <f>IF(E15&lt;=COUNT($C$5:$C$34),INDEX($A$5:$A$34,MATCH(LARGE($C$5:$C$34,E15),$C$5:$C$34,0)),"")</f>
        <v/>
      </c>
      <c r="G15">
        <f>IF(F15="","",INDEX($B$5:$B$34,MATCH(LARGE($C$5:$C$34,E15),$C$5:$C$34,0)))</f>
        <v/>
      </c>
      <c r="H15" s="5">
        <f>IF(F15="","",G15/SUM($B$5:$B$34))</f>
        <v/>
      </c>
      <c r="I15" s="5">
        <f>IF(F15="","",SUM($G$5:G15)/SUM($B$5:$B$34))</f>
        <v/>
      </c>
      <c r="J15">
        <f>IF(F15="","",IF(I15-H15&lt;0.8,"Yes",""))</f>
        <v/>
      </c>
    </row>
    <row r="16">
      <c r="A16" s="4" t="n"/>
      <c r="B16" s="4" t="n"/>
      <c r="C16">
        <f>IF(ISNUMBER(B16),B16+(100-ROW())/1000000,"")</f>
        <v/>
      </c>
      <c r="E16" t="n">
        <v>12</v>
      </c>
      <c r="F16">
        <f>IF(E16&lt;=COUNT($C$5:$C$34),INDEX($A$5:$A$34,MATCH(LARGE($C$5:$C$34,E16),$C$5:$C$34,0)),"")</f>
        <v/>
      </c>
      <c r="G16">
        <f>IF(F16="","",INDEX($B$5:$B$34,MATCH(LARGE($C$5:$C$34,E16),$C$5:$C$34,0)))</f>
        <v/>
      </c>
      <c r="H16" s="5">
        <f>IF(F16="","",G16/SUM($B$5:$B$34))</f>
        <v/>
      </c>
      <c r="I16" s="5">
        <f>IF(F16="","",SUM($G$5:G16)/SUM($B$5:$B$34))</f>
        <v/>
      </c>
      <c r="J16">
        <f>IF(F16="","",IF(I16-H16&lt;0.8,"Yes",""))</f>
        <v/>
      </c>
    </row>
    <row r="17">
      <c r="A17" s="4" t="n"/>
      <c r="B17" s="4" t="n"/>
      <c r="C17">
        <f>IF(ISNUMBER(B17),B17+(100-ROW())/1000000,"")</f>
        <v/>
      </c>
      <c r="E17" t="n">
        <v>13</v>
      </c>
      <c r="F17">
        <f>IF(E17&lt;=COUNT($C$5:$C$34),INDEX($A$5:$A$34,MATCH(LARGE($C$5:$C$34,E17),$C$5:$C$34,0)),"")</f>
        <v/>
      </c>
      <c r="G17">
        <f>IF(F17="","",INDEX($B$5:$B$34,MATCH(LARGE($C$5:$C$34,E17),$C$5:$C$34,0)))</f>
        <v/>
      </c>
      <c r="H17" s="5">
        <f>IF(F17="","",G17/SUM($B$5:$B$34))</f>
        <v/>
      </c>
      <c r="I17" s="5">
        <f>IF(F17="","",SUM($G$5:G17)/SUM($B$5:$B$34))</f>
        <v/>
      </c>
      <c r="J17">
        <f>IF(F17="","",IF(I17-H17&lt;0.8,"Yes",""))</f>
        <v/>
      </c>
    </row>
    <row r="18">
      <c r="A18" s="4" t="n"/>
      <c r="B18" s="4" t="n"/>
      <c r="C18">
        <f>IF(ISNUMBER(B18),B18+(100-ROW())/1000000,"")</f>
        <v/>
      </c>
      <c r="E18" t="n">
        <v>14</v>
      </c>
      <c r="F18">
        <f>IF(E18&lt;=COUNT($C$5:$C$34),INDEX($A$5:$A$34,MATCH(LARGE($C$5:$C$34,E18),$C$5:$C$34,0)),"")</f>
        <v/>
      </c>
      <c r="G18">
        <f>IF(F18="","",INDEX($B$5:$B$34,MATCH(LARGE($C$5:$C$34,E18),$C$5:$C$34,0)))</f>
        <v/>
      </c>
      <c r="H18" s="5">
        <f>IF(F18="","",G18/SUM($B$5:$B$34))</f>
        <v/>
      </c>
      <c r="I18" s="5">
        <f>IF(F18="","",SUM($G$5:G18)/SUM($B$5:$B$34))</f>
        <v/>
      </c>
      <c r="J18">
        <f>IF(F18="","",IF(I18-H18&lt;0.8,"Yes",""))</f>
        <v/>
      </c>
    </row>
    <row r="19">
      <c r="A19" s="4" t="n"/>
      <c r="B19" s="4" t="n"/>
      <c r="C19">
        <f>IF(ISNUMBER(B19),B19+(100-ROW())/1000000,"")</f>
        <v/>
      </c>
      <c r="E19" t="n">
        <v>15</v>
      </c>
      <c r="F19">
        <f>IF(E19&lt;=COUNT($C$5:$C$34),INDEX($A$5:$A$34,MATCH(LARGE($C$5:$C$34,E19),$C$5:$C$34,0)),"")</f>
        <v/>
      </c>
      <c r="G19">
        <f>IF(F19="","",INDEX($B$5:$B$34,MATCH(LARGE($C$5:$C$34,E19),$C$5:$C$34,0)))</f>
        <v/>
      </c>
      <c r="H19" s="5">
        <f>IF(F19="","",G19/SUM($B$5:$B$34))</f>
        <v/>
      </c>
      <c r="I19" s="5">
        <f>IF(F19="","",SUM($G$5:G19)/SUM($B$5:$B$34))</f>
        <v/>
      </c>
      <c r="J19">
        <f>IF(F19="","",IF(I19-H19&lt;0.8,"Yes",""))</f>
        <v/>
      </c>
    </row>
    <row r="20">
      <c r="A20" s="4" t="n"/>
      <c r="B20" s="4" t="n"/>
      <c r="C20">
        <f>IF(ISNUMBER(B20),B20+(100-ROW())/1000000,"")</f>
        <v/>
      </c>
      <c r="E20" t="n">
        <v>16</v>
      </c>
      <c r="F20">
        <f>IF(E20&lt;=COUNT($C$5:$C$34),INDEX($A$5:$A$34,MATCH(LARGE($C$5:$C$34,E20),$C$5:$C$34,0)),"")</f>
        <v/>
      </c>
      <c r="G20">
        <f>IF(F20="","",INDEX($B$5:$B$34,MATCH(LARGE($C$5:$C$34,E20),$C$5:$C$34,0)))</f>
        <v/>
      </c>
      <c r="H20" s="5">
        <f>IF(F20="","",G20/SUM($B$5:$B$34))</f>
        <v/>
      </c>
      <c r="I20" s="5">
        <f>IF(F20="","",SUM($G$5:G20)/SUM($B$5:$B$34))</f>
        <v/>
      </c>
      <c r="J20">
        <f>IF(F20="","",IF(I20-H20&lt;0.8,"Yes",""))</f>
        <v/>
      </c>
    </row>
    <row r="21">
      <c r="A21" s="4" t="n"/>
      <c r="B21" s="4" t="n"/>
      <c r="C21">
        <f>IF(ISNUMBER(B21),B21+(100-ROW())/1000000,"")</f>
        <v/>
      </c>
      <c r="E21" t="n">
        <v>17</v>
      </c>
      <c r="F21">
        <f>IF(E21&lt;=COUNT($C$5:$C$34),INDEX($A$5:$A$34,MATCH(LARGE($C$5:$C$34,E21),$C$5:$C$34,0)),"")</f>
        <v/>
      </c>
      <c r="G21">
        <f>IF(F21="","",INDEX($B$5:$B$34,MATCH(LARGE($C$5:$C$34,E21),$C$5:$C$34,0)))</f>
        <v/>
      </c>
      <c r="H21" s="5">
        <f>IF(F21="","",G21/SUM($B$5:$B$34))</f>
        <v/>
      </c>
      <c r="I21" s="5">
        <f>IF(F21="","",SUM($G$5:G21)/SUM($B$5:$B$34))</f>
        <v/>
      </c>
      <c r="J21">
        <f>IF(F21="","",IF(I21-H21&lt;0.8,"Yes",""))</f>
        <v/>
      </c>
    </row>
    <row r="22">
      <c r="A22" s="4" t="n"/>
      <c r="B22" s="4" t="n"/>
      <c r="C22">
        <f>IF(ISNUMBER(B22),B22+(100-ROW())/1000000,"")</f>
        <v/>
      </c>
      <c r="E22" t="n">
        <v>18</v>
      </c>
      <c r="F22">
        <f>IF(E22&lt;=COUNT($C$5:$C$34),INDEX($A$5:$A$34,MATCH(LARGE($C$5:$C$34,E22),$C$5:$C$34,0)),"")</f>
        <v/>
      </c>
      <c r="G22">
        <f>IF(F22="","",INDEX($B$5:$B$34,MATCH(LARGE($C$5:$C$34,E22),$C$5:$C$34,0)))</f>
        <v/>
      </c>
      <c r="H22" s="5">
        <f>IF(F22="","",G22/SUM($B$5:$B$34))</f>
        <v/>
      </c>
      <c r="I22" s="5">
        <f>IF(F22="","",SUM($G$5:G22)/SUM($B$5:$B$34))</f>
        <v/>
      </c>
      <c r="J22">
        <f>IF(F22="","",IF(I22-H22&lt;0.8,"Yes",""))</f>
        <v/>
      </c>
    </row>
    <row r="23">
      <c r="A23" s="4" t="n"/>
      <c r="B23" s="4" t="n"/>
      <c r="C23">
        <f>IF(ISNUMBER(B23),B23+(100-ROW())/1000000,"")</f>
        <v/>
      </c>
      <c r="E23" t="n">
        <v>19</v>
      </c>
      <c r="F23">
        <f>IF(E23&lt;=COUNT($C$5:$C$34),INDEX($A$5:$A$34,MATCH(LARGE($C$5:$C$34,E23),$C$5:$C$34,0)),"")</f>
        <v/>
      </c>
      <c r="G23">
        <f>IF(F23="","",INDEX($B$5:$B$34,MATCH(LARGE($C$5:$C$34,E23),$C$5:$C$34,0)))</f>
        <v/>
      </c>
      <c r="H23" s="5">
        <f>IF(F23="","",G23/SUM($B$5:$B$34))</f>
        <v/>
      </c>
      <c r="I23" s="5">
        <f>IF(F23="","",SUM($G$5:G23)/SUM($B$5:$B$34))</f>
        <v/>
      </c>
      <c r="J23">
        <f>IF(F23="","",IF(I23-H23&lt;0.8,"Yes",""))</f>
        <v/>
      </c>
    </row>
    <row r="24">
      <c r="A24" s="4" t="n"/>
      <c r="B24" s="4" t="n"/>
      <c r="C24">
        <f>IF(ISNUMBER(B24),B24+(100-ROW())/1000000,"")</f>
        <v/>
      </c>
      <c r="E24" t="n">
        <v>20</v>
      </c>
      <c r="F24">
        <f>IF(E24&lt;=COUNT($C$5:$C$34),INDEX($A$5:$A$34,MATCH(LARGE($C$5:$C$34,E24),$C$5:$C$34,0)),"")</f>
        <v/>
      </c>
      <c r="G24">
        <f>IF(F24="","",INDEX($B$5:$B$34,MATCH(LARGE($C$5:$C$34,E24),$C$5:$C$34,0)))</f>
        <v/>
      </c>
      <c r="H24" s="5">
        <f>IF(F24="","",G24/SUM($B$5:$B$34))</f>
        <v/>
      </c>
      <c r="I24" s="5">
        <f>IF(F24="","",SUM($G$5:G24)/SUM($B$5:$B$34))</f>
        <v/>
      </c>
      <c r="J24">
        <f>IF(F24="","",IF(I24-H24&lt;0.8,"Yes",""))</f>
        <v/>
      </c>
    </row>
    <row r="25">
      <c r="A25" s="4" t="n"/>
      <c r="B25" s="4" t="n"/>
      <c r="C25">
        <f>IF(ISNUMBER(B25),B25+(100-ROW())/1000000,"")</f>
        <v/>
      </c>
      <c r="E25" t="n">
        <v>21</v>
      </c>
      <c r="F25">
        <f>IF(E25&lt;=COUNT($C$5:$C$34),INDEX($A$5:$A$34,MATCH(LARGE($C$5:$C$34,E25),$C$5:$C$34,0)),"")</f>
        <v/>
      </c>
      <c r="G25">
        <f>IF(F25="","",INDEX($B$5:$B$34,MATCH(LARGE($C$5:$C$34,E25),$C$5:$C$34,0)))</f>
        <v/>
      </c>
      <c r="H25" s="5">
        <f>IF(F25="","",G25/SUM($B$5:$B$34))</f>
        <v/>
      </c>
      <c r="I25" s="5">
        <f>IF(F25="","",SUM($G$5:G25)/SUM($B$5:$B$34))</f>
        <v/>
      </c>
      <c r="J25">
        <f>IF(F25="","",IF(I25-H25&lt;0.8,"Yes",""))</f>
        <v/>
      </c>
    </row>
    <row r="26">
      <c r="A26" s="4" t="n"/>
      <c r="B26" s="4" t="n"/>
      <c r="C26">
        <f>IF(ISNUMBER(B26),B26+(100-ROW())/1000000,"")</f>
        <v/>
      </c>
      <c r="E26" t="n">
        <v>22</v>
      </c>
      <c r="F26">
        <f>IF(E26&lt;=COUNT($C$5:$C$34),INDEX($A$5:$A$34,MATCH(LARGE($C$5:$C$34,E26),$C$5:$C$34,0)),"")</f>
        <v/>
      </c>
      <c r="G26">
        <f>IF(F26="","",INDEX($B$5:$B$34,MATCH(LARGE($C$5:$C$34,E26),$C$5:$C$34,0)))</f>
        <v/>
      </c>
      <c r="H26" s="5">
        <f>IF(F26="","",G26/SUM($B$5:$B$34))</f>
        <v/>
      </c>
      <c r="I26" s="5">
        <f>IF(F26="","",SUM($G$5:G26)/SUM($B$5:$B$34))</f>
        <v/>
      </c>
      <c r="J26">
        <f>IF(F26="","",IF(I26-H26&lt;0.8,"Yes",""))</f>
        <v/>
      </c>
    </row>
    <row r="27">
      <c r="A27" s="4" t="n"/>
      <c r="B27" s="4" t="n"/>
      <c r="C27">
        <f>IF(ISNUMBER(B27),B27+(100-ROW())/1000000,"")</f>
        <v/>
      </c>
      <c r="E27" t="n">
        <v>23</v>
      </c>
      <c r="F27">
        <f>IF(E27&lt;=COUNT($C$5:$C$34),INDEX($A$5:$A$34,MATCH(LARGE($C$5:$C$34,E27),$C$5:$C$34,0)),"")</f>
        <v/>
      </c>
      <c r="G27">
        <f>IF(F27="","",INDEX($B$5:$B$34,MATCH(LARGE($C$5:$C$34,E27),$C$5:$C$34,0)))</f>
        <v/>
      </c>
      <c r="H27" s="5">
        <f>IF(F27="","",G27/SUM($B$5:$B$34))</f>
        <v/>
      </c>
      <c r="I27" s="5">
        <f>IF(F27="","",SUM($G$5:G27)/SUM($B$5:$B$34))</f>
        <v/>
      </c>
      <c r="J27">
        <f>IF(F27="","",IF(I27-H27&lt;0.8,"Yes",""))</f>
        <v/>
      </c>
    </row>
    <row r="28">
      <c r="A28" s="4" t="n"/>
      <c r="B28" s="4" t="n"/>
      <c r="C28">
        <f>IF(ISNUMBER(B28),B28+(100-ROW())/1000000,"")</f>
        <v/>
      </c>
      <c r="E28" t="n">
        <v>24</v>
      </c>
      <c r="F28">
        <f>IF(E28&lt;=COUNT($C$5:$C$34),INDEX($A$5:$A$34,MATCH(LARGE($C$5:$C$34,E28),$C$5:$C$34,0)),"")</f>
        <v/>
      </c>
      <c r="G28">
        <f>IF(F28="","",INDEX($B$5:$B$34,MATCH(LARGE($C$5:$C$34,E28),$C$5:$C$34,0)))</f>
        <v/>
      </c>
      <c r="H28" s="5">
        <f>IF(F28="","",G28/SUM($B$5:$B$34))</f>
        <v/>
      </c>
      <c r="I28" s="5">
        <f>IF(F28="","",SUM($G$5:G28)/SUM($B$5:$B$34))</f>
        <v/>
      </c>
      <c r="J28">
        <f>IF(F28="","",IF(I28-H28&lt;0.8,"Yes",""))</f>
        <v/>
      </c>
    </row>
    <row r="29">
      <c r="A29" s="4" t="n"/>
      <c r="B29" s="4" t="n"/>
      <c r="C29">
        <f>IF(ISNUMBER(B29),B29+(100-ROW())/1000000,"")</f>
        <v/>
      </c>
      <c r="E29" t="n">
        <v>25</v>
      </c>
      <c r="F29">
        <f>IF(E29&lt;=COUNT($C$5:$C$34),INDEX($A$5:$A$34,MATCH(LARGE($C$5:$C$34,E29),$C$5:$C$34,0)),"")</f>
        <v/>
      </c>
      <c r="G29">
        <f>IF(F29="","",INDEX($B$5:$B$34,MATCH(LARGE($C$5:$C$34,E29),$C$5:$C$34,0)))</f>
        <v/>
      </c>
      <c r="H29" s="5">
        <f>IF(F29="","",G29/SUM($B$5:$B$34))</f>
        <v/>
      </c>
      <c r="I29" s="5">
        <f>IF(F29="","",SUM($G$5:G29)/SUM($B$5:$B$34))</f>
        <v/>
      </c>
      <c r="J29">
        <f>IF(F29="","",IF(I29-H29&lt;0.8,"Yes",""))</f>
        <v/>
      </c>
    </row>
    <row r="30">
      <c r="A30" s="4" t="n"/>
      <c r="B30" s="4" t="n"/>
      <c r="C30">
        <f>IF(ISNUMBER(B30),B30+(100-ROW())/1000000,"")</f>
        <v/>
      </c>
      <c r="E30" t="n">
        <v>26</v>
      </c>
      <c r="F30">
        <f>IF(E30&lt;=COUNT($C$5:$C$34),INDEX($A$5:$A$34,MATCH(LARGE($C$5:$C$34,E30),$C$5:$C$34,0)),"")</f>
        <v/>
      </c>
      <c r="G30">
        <f>IF(F30="","",INDEX($B$5:$B$34,MATCH(LARGE($C$5:$C$34,E30),$C$5:$C$34,0)))</f>
        <v/>
      </c>
      <c r="H30" s="5">
        <f>IF(F30="","",G30/SUM($B$5:$B$34))</f>
        <v/>
      </c>
      <c r="I30" s="5">
        <f>IF(F30="","",SUM($G$5:G30)/SUM($B$5:$B$34))</f>
        <v/>
      </c>
      <c r="J30">
        <f>IF(F30="","",IF(I30-H30&lt;0.8,"Yes",""))</f>
        <v/>
      </c>
    </row>
    <row r="31">
      <c r="A31" s="4" t="n"/>
      <c r="B31" s="4" t="n"/>
      <c r="C31">
        <f>IF(ISNUMBER(B31),B31+(100-ROW())/1000000,"")</f>
        <v/>
      </c>
      <c r="E31" t="n">
        <v>27</v>
      </c>
      <c r="F31">
        <f>IF(E31&lt;=COUNT($C$5:$C$34),INDEX($A$5:$A$34,MATCH(LARGE($C$5:$C$34,E31),$C$5:$C$34,0)),"")</f>
        <v/>
      </c>
      <c r="G31">
        <f>IF(F31="","",INDEX($B$5:$B$34,MATCH(LARGE($C$5:$C$34,E31),$C$5:$C$34,0)))</f>
        <v/>
      </c>
      <c r="H31" s="5">
        <f>IF(F31="","",G31/SUM($B$5:$B$34))</f>
        <v/>
      </c>
      <c r="I31" s="5">
        <f>IF(F31="","",SUM($G$5:G31)/SUM($B$5:$B$34))</f>
        <v/>
      </c>
      <c r="J31">
        <f>IF(F31="","",IF(I31-H31&lt;0.8,"Yes",""))</f>
        <v/>
      </c>
    </row>
    <row r="32">
      <c r="A32" s="4" t="n"/>
      <c r="B32" s="4" t="n"/>
      <c r="C32">
        <f>IF(ISNUMBER(B32),B32+(100-ROW())/1000000,"")</f>
        <v/>
      </c>
      <c r="E32" t="n">
        <v>28</v>
      </c>
      <c r="F32">
        <f>IF(E32&lt;=COUNT($C$5:$C$34),INDEX($A$5:$A$34,MATCH(LARGE($C$5:$C$34,E32),$C$5:$C$34,0)),"")</f>
        <v/>
      </c>
      <c r="G32">
        <f>IF(F32="","",INDEX($B$5:$B$34,MATCH(LARGE($C$5:$C$34,E32),$C$5:$C$34,0)))</f>
        <v/>
      </c>
      <c r="H32" s="5">
        <f>IF(F32="","",G32/SUM($B$5:$B$34))</f>
        <v/>
      </c>
      <c r="I32" s="5">
        <f>IF(F32="","",SUM($G$5:G32)/SUM($B$5:$B$34))</f>
        <v/>
      </c>
      <c r="J32">
        <f>IF(F32="","",IF(I32-H32&lt;0.8,"Yes",""))</f>
        <v/>
      </c>
    </row>
    <row r="33">
      <c r="A33" s="4" t="n"/>
      <c r="B33" s="4" t="n"/>
      <c r="C33">
        <f>IF(ISNUMBER(B33),B33+(100-ROW())/1000000,"")</f>
        <v/>
      </c>
      <c r="E33" t="n">
        <v>29</v>
      </c>
      <c r="F33">
        <f>IF(E33&lt;=COUNT($C$5:$C$34),INDEX($A$5:$A$34,MATCH(LARGE($C$5:$C$34,E33),$C$5:$C$34,0)),"")</f>
        <v/>
      </c>
      <c r="G33">
        <f>IF(F33="","",INDEX($B$5:$B$34,MATCH(LARGE($C$5:$C$34,E33),$C$5:$C$34,0)))</f>
        <v/>
      </c>
      <c r="H33" s="5">
        <f>IF(F33="","",G33/SUM($B$5:$B$34))</f>
        <v/>
      </c>
      <c r="I33" s="5">
        <f>IF(F33="","",SUM($G$5:G33)/SUM($B$5:$B$34))</f>
        <v/>
      </c>
      <c r="J33">
        <f>IF(F33="","",IF(I33-H33&lt;0.8,"Yes",""))</f>
        <v/>
      </c>
    </row>
    <row r="34">
      <c r="A34" s="4" t="n"/>
      <c r="B34" s="4" t="n"/>
      <c r="C34">
        <f>IF(ISNUMBER(B34),B34+(100-ROW())/1000000,"")</f>
        <v/>
      </c>
      <c r="E34" t="n">
        <v>30</v>
      </c>
      <c r="F34">
        <f>IF(E34&lt;=COUNT($C$5:$C$34),INDEX($A$5:$A$34,MATCH(LARGE($C$5:$C$34,E34),$C$5:$C$34,0)),"")</f>
        <v/>
      </c>
      <c r="G34">
        <f>IF(F34="","",INDEX($B$5:$B$34,MATCH(LARGE($C$5:$C$34,E34),$C$5:$C$34,0)))</f>
        <v/>
      </c>
      <c r="H34" s="5">
        <f>IF(F34="","",G34/SUM($B$5:$B$34))</f>
        <v/>
      </c>
      <c r="I34" s="5">
        <f>IF(F34="","",SUM($G$5:G34)/SUM($B$5:$B$34))</f>
        <v/>
      </c>
      <c r="J34">
        <f>IF(F34="","",IF(I34-H34&lt;0.8,"Yes",""))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2026-10-29T18:08:10Z</dcterms:created>
  <dcterms:modified xmlns:dcterms="http://purl.org/dc/terms/" xmlns:xsi="http://www.w3.org/2001/XMLSchema-instance" xsi:type="dcterms:W3CDTF">2026-10-29T18:08:10Z</dcterms:modified>
</cp:coreProperties>
</file>