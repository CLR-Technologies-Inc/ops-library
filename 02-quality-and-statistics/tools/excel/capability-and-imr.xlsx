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" sheetId="1" state="visible" r:id="rId1"/>
    <sheet xmlns:r="http://schemas.openxmlformats.org/officeDocument/2006/relationships" name="I-MR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0"/>
    <numFmt numFmtId="166" formatCode="0.000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wrapText="1"/>
    </xf>
    <xf numFmtId="0" fontId="3" fillId="0" borderId="0" pivotButton="0" quotePrefix="0" xfId="0"/>
    <xf numFmtId="0" fontId="0" fillId="2" borderId="0" pivotButton="0" quotePrefix="0" xfId="0"/>
    <xf numFmtId="1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Individuals</a:t>
            </a:r>
          </a:p>
        </rich>
      </tx>
    </title>
    <plotArea>
      <lineChart>
        <grouping val="standard"/>
        <ser>
          <idx val="0"/>
          <order val="0"/>
          <tx>
            <strRef>
              <f>'I-MR Chart'!B4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Chart'!$B$5:$B$104</f>
            </numRef>
          </val>
          <smooth val="0"/>
        </ser>
        <ser>
          <idx val="1"/>
          <order val="1"/>
          <tx>
            <strRef>
              <f>'I-MR Chart'!C4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Chart'!$C$5:$C$104</f>
            </numRef>
          </val>
          <smooth val="0"/>
        </ser>
        <ser>
          <idx val="2"/>
          <order val="2"/>
          <tx>
            <strRef>
              <f>'I-MR Chart'!D4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Chart'!$D$5:$D$104</f>
            </numRef>
          </val>
          <smooth val="0"/>
        </ser>
        <ser>
          <idx val="3"/>
          <order val="3"/>
          <tx>
            <strRef>
              <f>'I-MR Chart'!E4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Chart'!$E$5:$E$104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Moving range</a:t>
            </a:r>
          </a:p>
        </rich>
      </tx>
    </title>
    <plotArea>
      <lineChart>
        <grouping val="standard"/>
        <ser>
          <idx val="0"/>
          <order val="0"/>
          <tx>
            <strRef>
              <f>'I-MR Chart'!F4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Chart'!$F$5:$F$104</f>
            </numRef>
          </val>
          <smooth val="0"/>
        </ser>
        <ser>
          <idx val="1"/>
          <order val="1"/>
          <tx>
            <strRef>
              <f>'I-MR Chart'!G4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Chart'!$G$5:$G$104</f>
            </numRef>
          </val>
          <smooth val="0"/>
        </ser>
        <ser>
          <idx val="2"/>
          <order val="2"/>
          <tx>
            <strRef>
              <f>'I-MR Chart'!H4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'I-MR Chart'!$A$5:$A$104</f>
            </numRef>
          </cat>
          <val>
            <numRef>
              <f>'I-MR Chart'!$H$5:$H$104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23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" customWidth="1" min="4" max="4"/>
    <col width="34" customWidth="1" min="5" max="5"/>
    <col width="14" customWidth="1" min="6" max="6"/>
  </cols>
  <sheetData>
    <row r="1">
      <c r="A1" s="1" t="inlineStr">
        <is>
          <t>Process Capability Study</t>
        </is>
      </c>
    </row>
    <row r="2">
      <c r="A2" s="2" t="inlineStr">
        <is>
          <t>Yellow cells are inputs. Paste up to 500 individual values in column B (in time order). Green cells are results.</t>
        </is>
      </c>
    </row>
    <row r="3">
      <c r="E3" s="3" t="inlineStr">
        <is>
          <t>Statistic</t>
        </is>
      </c>
      <c r="F3" s="3" t="inlineStr">
        <is>
          <t>Result</t>
        </is>
      </c>
    </row>
    <row r="4">
      <c r="A4" s="4" t="inlineStr">
        <is>
          <t>LSL</t>
        </is>
      </c>
      <c r="B4" s="5" t="n">
        <v>9.9</v>
      </c>
      <c r="E4" s="4" t="inlineStr">
        <is>
          <t>n</t>
        </is>
      </c>
      <c r="F4" s="6">
        <f>COUNT(B10:B509)</f>
        <v/>
      </c>
    </row>
    <row r="5">
      <c r="A5" s="4" t="inlineStr">
        <is>
          <t>USL</t>
        </is>
      </c>
      <c r="B5" s="5" t="n">
        <v>10.1</v>
      </c>
      <c r="E5" s="4" t="inlineStr">
        <is>
          <t>Mean</t>
        </is>
      </c>
      <c r="F5" s="7">
        <f>AVERAGE(B10:B509)</f>
        <v/>
      </c>
    </row>
    <row r="6">
      <c r="A6" s="4" t="inlineStr">
        <is>
          <t>Target (optional)</t>
        </is>
      </c>
      <c r="B6" s="5" t="n">
        <v>10</v>
      </c>
      <c r="E6" s="4" t="inlineStr">
        <is>
          <t>Std dev overall (long term)</t>
        </is>
      </c>
      <c r="F6" s="8">
        <f>STDEV(B10:B509)</f>
        <v/>
      </c>
    </row>
    <row r="7">
      <c r="E7" s="4" t="inlineStr">
        <is>
          <t>Average moving range</t>
        </is>
      </c>
      <c r="F7" s="8">
        <f>AVERAGE(C11:C509)</f>
        <v/>
      </c>
    </row>
    <row r="8">
      <c r="E8" s="4" t="inlineStr">
        <is>
          <t>Std dev within (MR-bar / 1.128)</t>
        </is>
      </c>
      <c r="F8" s="8">
        <f>F7/1.128379</f>
        <v/>
      </c>
    </row>
    <row r="9">
      <c r="A9" s="3" t="inlineStr">
        <is>
          <t>Sample</t>
        </is>
      </c>
      <c r="B9" s="3" t="inlineStr">
        <is>
          <t>Value</t>
        </is>
      </c>
      <c r="C9" s="3" t="inlineStr">
        <is>
          <t>Moving range</t>
        </is>
      </c>
      <c r="E9" s="4" t="inlineStr">
        <is>
          <t>Cp</t>
        </is>
      </c>
      <c r="F9" s="9">
        <f>(B5-B4)/(6*F8)</f>
        <v/>
      </c>
    </row>
    <row r="10">
      <c r="A10" t="n">
        <v>1</v>
      </c>
      <c r="B10" s="5" t="n">
        <v>9.9803</v>
      </c>
      <c r="E10" s="4" t="inlineStr">
        <is>
          <t>Cpk</t>
        </is>
      </c>
      <c r="F10" s="9">
        <f>MIN(B5-F5,F5-B4)/(3*F8)</f>
        <v/>
      </c>
    </row>
    <row r="11">
      <c r="A11" t="n">
        <v>2</v>
      </c>
      <c r="B11" s="5" t="n">
        <v>9.997299999999999</v>
      </c>
      <c r="C11">
        <f>IF(AND(ISNUMBER(B11),ISNUMBER(B10)),ABS(B11-B10),"")</f>
        <v/>
      </c>
      <c r="E11" s="4" t="inlineStr">
        <is>
          <t>Cpm</t>
        </is>
      </c>
      <c r="F11" s="9">
        <f>IF(ISNUMBER(B6),(B5-B4)/(6*SQRT(F8^2+(F5-B6)^2)),"")</f>
        <v/>
      </c>
    </row>
    <row r="12">
      <c r="A12" t="n">
        <v>3</v>
      </c>
      <c r="B12" s="5" t="n">
        <v>10.0358</v>
      </c>
      <c r="C12">
        <f>IF(AND(ISNUMBER(B12),ISNUMBER(B11)),ABS(B12-B11),"")</f>
        <v/>
      </c>
      <c r="E12" s="4" t="inlineStr">
        <is>
          <t>Pp</t>
        </is>
      </c>
      <c r="F12" s="9">
        <f>(B5-B4)/(6*F6)</f>
        <v/>
      </c>
    </row>
    <row r="13">
      <c r="A13" t="n">
        <v>4</v>
      </c>
      <c r="B13" s="5" t="n">
        <v>9.995699999999999</v>
      </c>
      <c r="C13">
        <f>IF(AND(ISNUMBER(B13),ISNUMBER(B12)),ABS(B13-B12),"")</f>
        <v/>
      </c>
      <c r="E13" s="4" t="inlineStr">
        <is>
          <t>Ppk</t>
        </is>
      </c>
      <c r="F13" s="9">
        <f>MIN(B5-F5,F5-B4)/(3*F6)</f>
        <v/>
      </c>
    </row>
    <row r="14">
      <c r="A14" t="n">
        <v>5</v>
      </c>
      <c r="B14" s="5" t="n">
        <v>10.0218</v>
      </c>
      <c r="C14">
        <f>IF(AND(ISNUMBER(B14),ISNUMBER(B13)),ABS(B14-B13),"")</f>
        <v/>
      </c>
      <c r="E14" s="4" t="inlineStr">
        <is>
          <t>Expected ppm &lt; LSL (overall)</t>
        </is>
      </c>
      <c r="F14" s="10">
        <f>NORMSDIST((B4-F5)/F6)*1000000</f>
        <v/>
      </c>
    </row>
    <row r="15">
      <c r="A15" t="n">
        <v>6</v>
      </c>
      <c r="B15" s="5" t="n">
        <v>10.0448</v>
      </c>
      <c r="C15">
        <f>IF(AND(ISNUMBER(B15),ISNUMBER(B14)),ABS(B15-B14),"")</f>
        <v/>
      </c>
      <c r="E15" s="4" t="inlineStr">
        <is>
          <t>Expected ppm &gt; USL (overall)</t>
        </is>
      </c>
      <c r="F15" s="10">
        <f>(1-NORMSDIST((B5-F5)/F6))*1000000</f>
        <v/>
      </c>
    </row>
    <row r="16">
      <c r="A16" t="n">
        <v>7</v>
      </c>
      <c r="B16" s="5" t="n">
        <v>10.0343</v>
      </c>
      <c r="C16">
        <f>IF(AND(ISNUMBER(B16),ISNUMBER(B15)),ABS(B16-B15),"")</f>
        <v/>
      </c>
      <c r="E16" s="4" t="inlineStr">
        <is>
          <t>Expected ppm total (overall)</t>
        </is>
      </c>
      <c r="F16" s="10">
        <f>F14+F15</f>
        <v/>
      </c>
    </row>
    <row r="17">
      <c r="A17" t="n">
        <v>8</v>
      </c>
      <c r="B17" s="5" t="n">
        <v>9.997999999999999</v>
      </c>
      <c r="C17">
        <f>IF(AND(ISNUMBER(B17),ISNUMBER(B16)),ABS(B17-B16),"")</f>
        <v/>
      </c>
      <c r="E17" s="4" t="inlineStr">
        <is>
          <t>Observed ppm</t>
        </is>
      </c>
      <c r="F17" s="10">
        <f>(COUNTIF(B10:B509,"&lt;"&amp;B4)+COUNTIF(B10:B509,"&gt;"&amp;B5))/F4*1000000</f>
        <v/>
      </c>
    </row>
    <row r="18">
      <c r="A18" t="n">
        <v>9</v>
      </c>
      <c r="B18" s="5" t="n">
        <v>10.0231</v>
      </c>
      <c r="C18">
        <f>IF(AND(ISNUMBER(B18),ISNUMBER(B17)),ABS(B18-B17),"")</f>
        <v/>
      </c>
      <c r="E18" s="4" t="inlineStr">
        <is>
          <t>Sigma level (with 1.5 shift)</t>
        </is>
      </c>
      <c r="F18" s="11">
        <f>NORMSINV(1-F16/1000000)+1.5</f>
        <v/>
      </c>
    </row>
    <row r="19">
      <c r="A19" t="n">
        <v>10</v>
      </c>
      <c r="B19" s="5" t="n">
        <v>10.0148</v>
      </c>
      <c r="C19">
        <f>IF(AND(ISNUMBER(B19),ISNUMBER(B18)),ABS(B19-B18),"")</f>
        <v/>
      </c>
    </row>
    <row r="20">
      <c r="A20" t="n">
        <v>11</v>
      </c>
      <c r="B20" s="5" t="n">
        <v>9.999599999999999</v>
      </c>
      <c r="C20">
        <f>IF(AND(ISNUMBER(B20),ISNUMBER(B19)),ABS(B20-B19),"")</f>
        <v/>
      </c>
      <c r="E20" s="2" t="inlineStr">
        <is>
          <t>Interpretation: Cpk of 1.33 or more is the usual minimum for an existing process; 1.67 for a new or safety-critical one. A big gap between Cpk and Ppk means the process drifts over time.</t>
        </is>
      </c>
    </row>
    <row r="21">
      <c r="A21" t="n">
        <v>12</v>
      </c>
      <c r="B21" s="5" t="n">
        <v>10.0345</v>
      </c>
      <c r="C21">
        <f>IF(AND(ISNUMBER(B21),ISNUMBER(B20)),ABS(B21-B20),"")</f>
        <v/>
      </c>
    </row>
    <row r="22">
      <c r="A22" t="n">
        <v>13</v>
      </c>
      <c r="B22" s="5" t="n">
        <v>10.0178</v>
      </c>
      <c r="C22">
        <f>IF(AND(ISNUMBER(B22),ISNUMBER(B21)),ABS(B22-B21),"")</f>
        <v/>
      </c>
    </row>
    <row r="23">
      <c r="A23" t="n">
        <v>14</v>
      </c>
      <c r="B23" s="5" t="n">
        <v>9.986000000000001</v>
      </c>
      <c r="C23">
        <f>IF(AND(ISNUMBER(B23),ISNUMBER(B22)),ABS(B23-B22),"")</f>
        <v/>
      </c>
    </row>
    <row r="24">
      <c r="A24" t="n">
        <v>15</v>
      </c>
      <c r="B24" s="5" t="n">
        <v>9.978199999999999</v>
      </c>
      <c r="C24">
        <f>IF(AND(ISNUMBER(B24),ISNUMBER(B23)),ABS(B24-B23),"")</f>
        <v/>
      </c>
    </row>
    <row r="25">
      <c r="A25" t="n">
        <v>16</v>
      </c>
      <c r="B25" s="5" t="n">
        <v>10.0019</v>
      </c>
      <c r="C25">
        <f>IF(AND(ISNUMBER(B25),ISNUMBER(B24)),ABS(B25-B24),"")</f>
        <v/>
      </c>
    </row>
    <row r="26">
      <c r="A26" t="n">
        <v>17</v>
      </c>
      <c r="B26" s="5" t="n">
        <v>10.038</v>
      </c>
      <c r="C26">
        <f>IF(AND(ISNUMBER(B26),ISNUMBER(B25)),ABS(B26-B25),"")</f>
        <v/>
      </c>
    </row>
    <row r="27">
      <c r="A27" t="n">
        <v>18</v>
      </c>
      <c r="B27" s="5" t="n">
        <v>9.982200000000001</v>
      </c>
      <c r="C27">
        <f>IF(AND(ISNUMBER(B27),ISNUMBER(B26)),ABS(B27-B26),"")</f>
        <v/>
      </c>
    </row>
    <row r="28">
      <c r="A28" t="n">
        <v>19</v>
      </c>
      <c r="B28" s="5" t="n">
        <v>10.0138</v>
      </c>
      <c r="C28">
        <f>IF(AND(ISNUMBER(B28),ISNUMBER(B27)),ABS(B28-B27),"")</f>
        <v/>
      </c>
    </row>
    <row r="29">
      <c r="A29" t="n">
        <v>20</v>
      </c>
      <c r="B29" s="5" t="n">
        <v>9.993499999999999</v>
      </c>
      <c r="C29">
        <f>IF(AND(ISNUMBER(B29),ISNUMBER(B28)),ABS(B29-B28),"")</f>
        <v/>
      </c>
    </row>
    <row r="30">
      <c r="A30" t="n">
        <v>21</v>
      </c>
      <c r="B30" s="5" t="n">
        <v>10.0029</v>
      </c>
      <c r="C30">
        <f>IF(AND(ISNUMBER(B30),ISNUMBER(B29)),ABS(B30-B29),"")</f>
        <v/>
      </c>
    </row>
    <row r="31">
      <c r="A31" t="n">
        <v>22</v>
      </c>
      <c r="B31" s="5" t="n">
        <v>10.0288</v>
      </c>
      <c r="C31">
        <f>IF(AND(ISNUMBER(B31),ISNUMBER(B30)),ABS(B31-B30),"")</f>
        <v/>
      </c>
    </row>
    <row r="32">
      <c r="A32" t="n">
        <v>23</v>
      </c>
      <c r="B32" s="5" t="n">
        <v>9.995699999999999</v>
      </c>
      <c r="C32">
        <f>IF(AND(ISNUMBER(B32),ISNUMBER(B31)),ABS(B32-B31),"")</f>
        <v/>
      </c>
    </row>
    <row r="33">
      <c r="A33" t="n">
        <v>24</v>
      </c>
      <c r="B33" s="5" t="n">
        <v>10.0348</v>
      </c>
      <c r="C33">
        <f>IF(AND(ISNUMBER(B33),ISNUMBER(B32)),ABS(B33-B32),"")</f>
        <v/>
      </c>
    </row>
    <row r="34">
      <c r="A34" t="n">
        <v>25</v>
      </c>
      <c r="B34" s="5" t="n">
        <v>10.0132</v>
      </c>
      <c r="C34">
        <f>IF(AND(ISNUMBER(B34),ISNUMBER(B33)),ABS(B34-B33),"")</f>
        <v/>
      </c>
    </row>
    <row r="35">
      <c r="A35" t="n">
        <v>26</v>
      </c>
      <c r="B35" s="5" t="n">
        <v>10.038</v>
      </c>
      <c r="C35">
        <f>IF(AND(ISNUMBER(B35),ISNUMBER(B34)),ABS(B35-B34),"")</f>
        <v/>
      </c>
    </row>
    <row r="36">
      <c r="A36" t="n">
        <v>27</v>
      </c>
      <c r="B36" s="5" t="n">
        <v>10.0123</v>
      </c>
      <c r="C36">
        <f>IF(AND(ISNUMBER(B36),ISNUMBER(B35)),ABS(B36-B35),"")</f>
        <v/>
      </c>
    </row>
    <row r="37">
      <c r="A37" t="n">
        <v>28</v>
      </c>
      <c r="B37" s="5" t="n">
        <v>10.0119</v>
      </c>
      <c r="C37">
        <f>IF(AND(ISNUMBER(B37),ISNUMBER(B36)),ABS(B37-B36),"")</f>
        <v/>
      </c>
    </row>
    <row r="38">
      <c r="A38" t="n">
        <v>29</v>
      </c>
      <c r="B38" s="5" t="n">
        <v>9.994400000000001</v>
      </c>
      <c r="C38">
        <f>IF(AND(ISNUMBER(B38),ISNUMBER(B37)),ABS(B38-B37),"")</f>
        <v/>
      </c>
    </row>
    <row r="39">
      <c r="A39" t="n">
        <v>30</v>
      </c>
      <c r="B39" s="5" t="n">
        <v>10.0221</v>
      </c>
      <c r="C39">
        <f>IF(AND(ISNUMBER(B39),ISNUMBER(B38)),ABS(B39-B38),"")</f>
        <v/>
      </c>
    </row>
    <row r="40">
      <c r="A40" t="n">
        <v>31</v>
      </c>
      <c r="B40" s="5" t="n">
        <v>10.0249</v>
      </c>
      <c r="C40">
        <f>IF(AND(ISNUMBER(B40),ISNUMBER(B39)),ABS(B40-B39),"")</f>
        <v/>
      </c>
    </row>
    <row r="41">
      <c r="A41" t="n">
        <v>32</v>
      </c>
      <c r="B41" s="5" t="n">
        <v>9.9902</v>
      </c>
      <c r="C41">
        <f>IF(AND(ISNUMBER(B41),ISNUMBER(B40)),ABS(B41-B40),"")</f>
        <v/>
      </c>
    </row>
    <row r="42">
      <c r="A42" t="n">
        <v>33</v>
      </c>
      <c r="B42" s="5" t="n">
        <v>10.0181</v>
      </c>
      <c r="C42">
        <f>IF(AND(ISNUMBER(B42),ISNUMBER(B41)),ABS(B42-B41),"")</f>
        <v/>
      </c>
    </row>
    <row r="43">
      <c r="A43" t="n">
        <v>34</v>
      </c>
      <c r="B43" s="5" t="n">
        <v>9.997299999999999</v>
      </c>
      <c r="C43">
        <f>IF(AND(ISNUMBER(B43),ISNUMBER(B42)),ABS(B43-B42),"")</f>
        <v/>
      </c>
    </row>
    <row r="44">
      <c r="A44" t="n">
        <v>35</v>
      </c>
      <c r="B44" s="5" t="n">
        <v>10.0448</v>
      </c>
      <c r="C44">
        <f>IF(AND(ISNUMBER(B44),ISNUMBER(B43)),ABS(B44-B43),"")</f>
        <v/>
      </c>
    </row>
    <row r="45">
      <c r="A45" t="n">
        <v>36</v>
      </c>
      <c r="B45" s="5" t="n">
        <v>9.958</v>
      </c>
      <c r="C45">
        <f>IF(AND(ISNUMBER(B45),ISNUMBER(B44)),ABS(B45-B44),"")</f>
        <v/>
      </c>
    </row>
    <row r="46">
      <c r="A46" t="n">
        <v>37</v>
      </c>
      <c r="B46" s="5" t="n">
        <v>9.950699999999999</v>
      </c>
      <c r="C46">
        <f>IF(AND(ISNUMBER(B46),ISNUMBER(B45)),ABS(B46-B45),"")</f>
        <v/>
      </c>
    </row>
    <row r="47">
      <c r="A47" t="n">
        <v>38</v>
      </c>
      <c r="B47" s="5" t="n">
        <v>9.9636</v>
      </c>
      <c r="C47">
        <f>IF(AND(ISNUMBER(B47),ISNUMBER(B46)),ABS(B47-B46),"")</f>
        <v/>
      </c>
    </row>
    <row r="48">
      <c r="A48" t="n">
        <v>39</v>
      </c>
      <c r="B48" s="5" t="n">
        <v>9.970000000000001</v>
      </c>
      <c r="C48">
        <f>IF(AND(ISNUMBER(B48),ISNUMBER(B47)),ABS(B48-B47),"")</f>
        <v/>
      </c>
    </row>
    <row r="49">
      <c r="A49" t="n">
        <v>40</v>
      </c>
      <c r="B49" s="5" t="n">
        <v>10.0072</v>
      </c>
      <c r="C49">
        <f>IF(AND(ISNUMBER(B49),ISNUMBER(B48)),ABS(B49-B48),"")</f>
        <v/>
      </c>
    </row>
    <row r="50">
      <c r="A50" t="n">
        <v>41</v>
      </c>
      <c r="B50" s="5" t="n">
        <v>10.0081</v>
      </c>
      <c r="C50">
        <f>IF(AND(ISNUMBER(B50),ISNUMBER(B49)),ABS(B50-B49),"")</f>
        <v/>
      </c>
    </row>
    <row r="51">
      <c r="A51" t="n">
        <v>42</v>
      </c>
      <c r="B51" s="5" t="n">
        <v>9.9666</v>
      </c>
      <c r="C51">
        <f>IF(AND(ISNUMBER(B51),ISNUMBER(B50)),ABS(B51-B50),"")</f>
        <v/>
      </c>
    </row>
    <row r="52">
      <c r="A52" t="n">
        <v>43</v>
      </c>
      <c r="B52" s="5" t="n">
        <v>10.0599</v>
      </c>
      <c r="C52">
        <f>IF(AND(ISNUMBER(B52),ISNUMBER(B51)),ABS(B52-B51),"")</f>
        <v/>
      </c>
    </row>
    <row r="53">
      <c r="A53" t="n">
        <v>44</v>
      </c>
      <c r="B53" s="5" t="n">
        <v>9.9558</v>
      </c>
      <c r="C53">
        <f>IF(AND(ISNUMBER(B53),ISNUMBER(B52)),ABS(B53-B52),"")</f>
        <v/>
      </c>
    </row>
    <row r="54">
      <c r="A54" t="n">
        <v>45</v>
      </c>
      <c r="B54" s="5" t="n">
        <v>10.0381</v>
      </c>
      <c r="C54">
        <f>IF(AND(ISNUMBER(B54),ISNUMBER(B53)),ABS(B54-B53),"")</f>
        <v/>
      </c>
    </row>
    <row r="55">
      <c r="A55" t="n">
        <v>46</v>
      </c>
      <c r="B55" s="5" t="n">
        <v>10.0114</v>
      </c>
      <c r="C55">
        <f>IF(AND(ISNUMBER(B55),ISNUMBER(B54)),ABS(B55-B54),"")</f>
        <v/>
      </c>
    </row>
    <row r="56">
      <c r="A56" t="n">
        <v>47</v>
      </c>
      <c r="B56" s="5" t="n">
        <v>9.9732</v>
      </c>
      <c r="C56">
        <f>IF(AND(ISNUMBER(B56),ISNUMBER(B55)),ABS(B56-B55),"")</f>
        <v/>
      </c>
    </row>
    <row r="57">
      <c r="A57" t="n">
        <v>48</v>
      </c>
      <c r="B57" s="5" t="n">
        <v>9.969099999999999</v>
      </c>
      <c r="C57">
        <f>IF(AND(ISNUMBER(B57),ISNUMBER(B56)),ABS(B57-B56),"")</f>
        <v/>
      </c>
    </row>
    <row r="58">
      <c r="A58" t="n">
        <v>49</v>
      </c>
      <c r="B58" s="5" t="n">
        <v>10.0187</v>
      </c>
      <c r="C58">
        <f>IF(AND(ISNUMBER(B58),ISNUMBER(B57)),ABS(B58-B57),"")</f>
        <v/>
      </c>
    </row>
    <row r="59">
      <c r="A59" t="n">
        <v>50</v>
      </c>
      <c r="B59" s="5" t="n">
        <v>9.9742</v>
      </c>
      <c r="C59">
        <f>IF(AND(ISNUMBER(B59),ISNUMBER(B58)),ABS(B59-B58),"")</f>
        <v/>
      </c>
    </row>
    <row r="60">
      <c r="A60" t="n">
        <v>51</v>
      </c>
      <c r="B60" s="5" t="n">
        <v>9.9862</v>
      </c>
      <c r="C60">
        <f>IF(AND(ISNUMBER(B60),ISNUMBER(B59)),ABS(B60-B59),"")</f>
        <v/>
      </c>
    </row>
    <row r="61">
      <c r="A61" t="n">
        <v>52</v>
      </c>
      <c r="B61" s="5" t="n">
        <v>10.0313</v>
      </c>
      <c r="C61">
        <f>IF(AND(ISNUMBER(B61),ISNUMBER(B60)),ABS(B61-B60),"")</f>
        <v/>
      </c>
    </row>
    <row r="62">
      <c r="A62" t="n">
        <v>53</v>
      </c>
      <c r="B62" s="5" t="n">
        <v>9.970000000000001</v>
      </c>
      <c r="C62">
        <f>IF(AND(ISNUMBER(B62),ISNUMBER(B61)),ABS(B62-B61),"")</f>
        <v/>
      </c>
    </row>
    <row r="63">
      <c r="A63" t="n">
        <v>54</v>
      </c>
      <c r="B63" s="5" t="n">
        <v>9.9627</v>
      </c>
      <c r="C63">
        <f>IF(AND(ISNUMBER(B63),ISNUMBER(B62)),ABS(B63-B62),"")</f>
        <v/>
      </c>
    </row>
    <row r="64">
      <c r="A64" t="n">
        <v>55</v>
      </c>
      <c r="B64" s="5" t="n">
        <v>10.0235</v>
      </c>
      <c r="C64">
        <f>IF(AND(ISNUMBER(B64),ISNUMBER(B63)),ABS(B64-B63),"")</f>
        <v/>
      </c>
    </row>
    <row r="65">
      <c r="A65" t="n">
        <v>56</v>
      </c>
      <c r="B65" s="5" t="n">
        <v>10.0404</v>
      </c>
      <c r="C65">
        <f>IF(AND(ISNUMBER(B65),ISNUMBER(B64)),ABS(B65-B64),"")</f>
        <v/>
      </c>
    </row>
    <row r="66">
      <c r="A66" t="n">
        <v>57</v>
      </c>
      <c r="B66" s="5" t="n">
        <v>9.9757</v>
      </c>
      <c r="C66">
        <f>IF(AND(ISNUMBER(B66),ISNUMBER(B65)),ABS(B66-B65),"")</f>
        <v/>
      </c>
    </row>
    <row r="67">
      <c r="A67" t="n">
        <v>58</v>
      </c>
      <c r="B67" s="5" t="n">
        <v>10.0301</v>
      </c>
      <c r="C67">
        <f>IF(AND(ISNUMBER(B67),ISNUMBER(B66)),ABS(B67-B66),"")</f>
        <v/>
      </c>
    </row>
    <row r="68">
      <c r="A68" t="n">
        <v>59</v>
      </c>
      <c r="B68" s="5" t="n">
        <v>10.0861</v>
      </c>
      <c r="C68">
        <f>IF(AND(ISNUMBER(B68),ISNUMBER(B67)),ABS(B68-B67),"")</f>
        <v/>
      </c>
    </row>
    <row r="69">
      <c r="A69" t="n">
        <v>60</v>
      </c>
      <c r="B69" s="5" t="n">
        <v>10.0574</v>
      </c>
      <c r="C69">
        <f>IF(AND(ISNUMBER(B69),ISNUMBER(B68)),ABS(B69-B68),"")</f>
        <v/>
      </c>
    </row>
    <row r="70">
      <c r="A70" t="n">
        <v>61</v>
      </c>
      <c r="B70" s="5" t="n">
        <v>9.9999</v>
      </c>
      <c r="C70">
        <f>IF(AND(ISNUMBER(B70),ISNUMBER(B69)),ABS(B70-B69),"")</f>
        <v/>
      </c>
    </row>
    <row r="71">
      <c r="A71" t="n">
        <v>62</v>
      </c>
      <c r="B71" s="5" t="n">
        <v>10.037</v>
      </c>
      <c r="C71">
        <f>IF(AND(ISNUMBER(B71),ISNUMBER(B70)),ABS(B71-B70),"")</f>
        <v/>
      </c>
    </row>
    <row r="72">
      <c r="A72" t="n">
        <v>63</v>
      </c>
      <c r="B72" s="5" t="n">
        <v>10.0076</v>
      </c>
      <c r="C72">
        <f>IF(AND(ISNUMBER(B72),ISNUMBER(B71)),ABS(B72-B71),"")</f>
        <v/>
      </c>
    </row>
    <row r="73">
      <c r="A73" t="n">
        <v>64</v>
      </c>
      <c r="B73" s="5" t="n">
        <v>9.9693</v>
      </c>
      <c r="C73">
        <f>IF(AND(ISNUMBER(B73),ISNUMBER(B72)),ABS(B73-B72),"")</f>
        <v/>
      </c>
    </row>
    <row r="74">
      <c r="A74" t="n">
        <v>65</v>
      </c>
      <c r="B74" s="5" t="n">
        <v>9.952299999999999</v>
      </c>
      <c r="C74">
        <f>IF(AND(ISNUMBER(B74),ISNUMBER(B73)),ABS(B74-B73),"")</f>
        <v/>
      </c>
    </row>
    <row r="75">
      <c r="A75" t="n">
        <v>66</v>
      </c>
      <c r="B75" s="5" t="n">
        <v>9.9427</v>
      </c>
      <c r="C75">
        <f>IF(AND(ISNUMBER(B75),ISNUMBER(B74)),ABS(B75-B74),"")</f>
        <v/>
      </c>
    </row>
    <row r="76">
      <c r="A76" t="n">
        <v>67</v>
      </c>
      <c r="B76" s="5" t="n">
        <v>9.9831</v>
      </c>
      <c r="C76">
        <f>IF(AND(ISNUMBER(B76),ISNUMBER(B75)),ABS(B76-B75),"")</f>
        <v/>
      </c>
    </row>
    <row r="77">
      <c r="A77" t="n">
        <v>68</v>
      </c>
      <c r="B77" s="5" t="n">
        <v>10.0011</v>
      </c>
      <c r="C77">
        <f>IF(AND(ISNUMBER(B77),ISNUMBER(B76)),ABS(B77-B76),"")</f>
        <v/>
      </c>
    </row>
    <row r="78">
      <c r="A78" t="n">
        <v>69</v>
      </c>
      <c r="B78" s="5" t="n">
        <v>9.988300000000001</v>
      </c>
      <c r="C78">
        <f>IF(AND(ISNUMBER(B78),ISNUMBER(B77)),ABS(B78-B77),"")</f>
        <v/>
      </c>
    </row>
    <row r="79">
      <c r="A79" t="n">
        <v>70</v>
      </c>
      <c r="B79" s="5" t="n">
        <v>9.972099999999999</v>
      </c>
      <c r="C79">
        <f>IF(AND(ISNUMBER(B79),ISNUMBER(B78)),ABS(B79-B78),"")</f>
        <v/>
      </c>
    </row>
    <row r="80">
      <c r="A80" t="n">
        <v>71</v>
      </c>
      <c r="B80" s="5" t="n">
        <v>10.0231</v>
      </c>
      <c r="C80">
        <f>IF(AND(ISNUMBER(B80),ISNUMBER(B79)),ABS(B80-B79),"")</f>
        <v/>
      </c>
    </row>
    <row r="81">
      <c r="A81" t="n">
        <v>72</v>
      </c>
      <c r="B81" s="5" t="n">
        <v>9.973000000000001</v>
      </c>
      <c r="C81">
        <f>IF(AND(ISNUMBER(B81),ISNUMBER(B80)),ABS(B81-B80),"")</f>
        <v/>
      </c>
    </row>
    <row r="82">
      <c r="A82" t="n">
        <v>73</v>
      </c>
      <c r="B82" s="5" t="n">
        <v>9.9925</v>
      </c>
      <c r="C82">
        <f>IF(AND(ISNUMBER(B82),ISNUMBER(B81)),ABS(B82-B81),"")</f>
        <v/>
      </c>
    </row>
    <row r="83">
      <c r="A83" t="n">
        <v>74</v>
      </c>
      <c r="B83" s="5" t="n">
        <v>10.0169</v>
      </c>
      <c r="C83">
        <f>IF(AND(ISNUMBER(B83),ISNUMBER(B82)),ABS(B83-B82),"")</f>
        <v/>
      </c>
    </row>
    <row r="84">
      <c r="A84" t="n">
        <v>75</v>
      </c>
      <c r="B84" s="5" t="n">
        <v>10.0825</v>
      </c>
      <c r="C84">
        <f>IF(AND(ISNUMBER(B84),ISNUMBER(B83)),ABS(B84-B83),"")</f>
        <v/>
      </c>
    </row>
    <row r="85">
      <c r="A85" t="n">
        <v>76</v>
      </c>
      <c r="B85" s="5" t="n">
        <v>10.0018</v>
      </c>
      <c r="C85">
        <f>IF(AND(ISNUMBER(B85),ISNUMBER(B84)),ABS(B85-B84),"")</f>
        <v/>
      </c>
    </row>
    <row r="86">
      <c r="A86" t="n">
        <v>77</v>
      </c>
      <c r="B86" s="5" t="n">
        <v>10.0072</v>
      </c>
      <c r="C86">
        <f>IF(AND(ISNUMBER(B86),ISNUMBER(B85)),ABS(B86-B85),"")</f>
        <v/>
      </c>
    </row>
    <row r="87">
      <c r="A87" t="n">
        <v>78</v>
      </c>
      <c r="B87" s="5" t="n">
        <v>10.0576</v>
      </c>
      <c r="C87">
        <f>IF(AND(ISNUMBER(B87),ISNUMBER(B86)),ABS(B87-B86),"")</f>
        <v/>
      </c>
    </row>
    <row r="88">
      <c r="A88" t="n">
        <v>79</v>
      </c>
      <c r="B88" s="5" t="n">
        <v>10.0013</v>
      </c>
      <c r="C88">
        <f>IF(AND(ISNUMBER(B88),ISNUMBER(B87)),ABS(B88-B87),"")</f>
        <v/>
      </c>
    </row>
    <row r="89">
      <c r="A89" t="n">
        <v>80</v>
      </c>
      <c r="B89" s="5" t="n">
        <v>9.962300000000001</v>
      </c>
      <c r="C89">
        <f>IF(AND(ISNUMBER(B89),ISNUMBER(B88)),ABS(B89-B88),"")</f>
        <v/>
      </c>
    </row>
    <row r="90">
      <c r="A90" t="n">
        <v>81</v>
      </c>
      <c r="B90" s="5" t="n">
        <v>10.0344</v>
      </c>
      <c r="C90">
        <f>IF(AND(ISNUMBER(B90),ISNUMBER(B89)),ABS(B90-B89),"")</f>
        <v/>
      </c>
    </row>
    <row r="91">
      <c r="A91" t="n">
        <v>82</v>
      </c>
      <c r="B91" s="5" t="n">
        <v>9.9589</v>
      </c>
      <c r="C91">
        <f>IF(AND(ISNUMBER(B91),ISNUMBER(B90)),ABS(B91-B90),"")</f>
        <v/>
      </c>
    </row>
    <row r="92">
      <c r="A92" t="n">
        <v>83</v>
      </c>
      <c r="B92" s="5" t="n">
        <v>10.0035</v>
      </c>
      <c r="C92">
        <f>IF(AND(ISNUMBER(B92),ISNUMBER(B91)),ABS(B92-B91),"")</f>
        <v/>
      </c>
    </row>
    <row r="93">
      <c r="A93" t="n">
        <v>84</v>
      </c>
      <c r="B93" s="5" t="n">
        <v>10.0296</v>
      </c>
      <c r="C93">
        <f>IF(AND(ISNUMBER(B93),ISNUMBER(B92)),ABS(B93-B92),"")</f>
        <v/>
      </c>
    </row>
    <row r="94">
      <c r="A94" t="n">
        <v>85</v>
      </c>
      <c r="B94" s="5" t="n">
        <v>10.0031</v>
      </c>
      <c r="C94">
        <f>IF(AND(ISNUMBER(B94),ISNUMBER(B93)),ABS(B94-B93),"")</f>
        <v/>
      </c>
    </row>
    <row r="95">
      <c r="A95" t="n">
        <v>86</v>
      </c>
      <c r="B95" s="5" t="n">
        <v>9.993499999999999</v>
      </c>
      <c r="C95">
        <f>IF(AND(ISNUMBER(B95),ISNUMBER(B94)),ABS(B95-B94),"")</f>
        <v/>
      </c>
    </row>
    <row r="96">
      <c r="A96" t="n">
        <v>87</v>
      </c>
      <c r="B96" s="5" t="n">
        <v>9.981400000000001</v>
      </c>
      <c r="C96">
        <f>IF(AND(ISNUMBER(B96),ISNUMBER(B95)),ABS(B96-B95),"")</f>
        <v/>
      </c>
    </row>
    <row r="97">
      <c r="A97" t="n">
        <v>88</v>
      </c>
      <c r="B97" s="5" t="n">
        <v>10.0221</v>
      </c>
      <c r="C97">
        <f>IF(AND(ISNUMBER(B97),ISNUMBER(B96)),ABS(B97-B96),"")</f>
        <v/>
      </c>
    </row>
    <row r="98">
      <c r="A98" t="n">
        <v>89</v>
      </c>
      <c r="B98" s="5" t="n">
        <v>9.9963</v>
      </c>
      <c r="C98">
        <f>IF(AND(ISNUMBER(B98),ISNUMBER(B97)),ABS(B98-B97),"")</f>
        <v/>
      </c>
    </row>
    <row r="99">
      <c r="A99" t="n">
        <v>90</v>
      </c>
      <c r="B99" s="5" t="n">
        <v>9.992000000000001</v>
      </c>
      <c r="C99">
        <f>IF(AND(ISNUMBER(B99),ISNUMBER(B98)),ABS(B99-B98),"")</f>
        <v/>
      </c>
    </row>
    <row r="100">
      <c r="A100" t="n">
        <v>91</v>
      </c>
      <c r="B100" s="5" t="n">
        <v>10.0383</v>
      </c>
      <c r="C100">
        <f>IF(AND(ISNUMBER(B100),ISNUMBER(B99)),ABS(B100-B99),"")</f>
        <v/>
      </c>
    </row>
    <row r="101">
      <c r="A101" t="n">
        <v>92</v>
      </c>
      <c r="B101" s="5" t="n">
        <v>9.978</v>
      </c>
      <c r="C101">
        <f>IF(AND(ISNUMBER(B101),ISNUMBER(B100)),ABS(B101-B100),"")</f>
        <v/>
      </c>
    </row>
    <row r="102">
      <c r="A102" t="n">
        <v>93</v>
      </c>
      <c r="B102" s="5" t="n">
        <v>10.004</v>
      </c>
      <c r="C102">
        <f>IF(AND(ISNUMBER(B102),ISNUMBER(B101)),ABS(B102-B101),"")</f>
        <v/>
      </c>
    </row>
    <row r="103">
      <c r="A103" t="n">
        <v>94</v>
      </c>
      <c r="B103" s="5" t="n">
        <v>10.0064</v>
      </c>
      <c r="C103">
        <f>IF(AND(ISNUMBER(B103),ISNUMBER(B102)),ABS(B103-B102),"")</f>
        <v/>
      </c>
    </row>
    <row r="104">
      <c r="A104" t="n">
        <v>95</v>
      </c>
      <c r="B104" s="5" t="n">
        <v>10.0228</v>
      </c>
      <c r="C104">
        <f>IF(AND(ISNUMBER(B104),ISNUMBER(B103)),ABS(B104-B103),"")</f>
        <v/>
      </c>
    </row>
    <row r="105">
      <c r="A105" t="n">
        <v>96</v>
      </c>
      <c r="B105" s="5" t="n">
        <v>10.0607</v>
      </c>
      <c r="C105">
        <f>IF(AND(ISNUMBER(B105),ISNUMBER(B104)),ABS(B105-B104),"")</f>
        <v/>
      </c>
    </row>
    <row r="106">
      <c r="A106" t="n">
        <v>97</v>
      </c>
      <c r="B106" s="5" t="n">
        <v>9.9924</v>
      </c>
      <c r="C106">
        <f>IF(AND(ISNUMBER(B106),ISNUMBER(B105)),ABS(B106-B105),"")</f>
        <v/>
      </c>
    </row>
    <row r="107">
      <c r="A107" t="n">
        <v>98</v>
      </c>
      <c r="B107" s="5" t="n">
        <v>9.992800000000001</v>
      </c>
      <c r="C107">
        <f>IF(AND(ISNUMBER(B107),ISNUMBER(B106)),ABS(B107-B106),"")</f>
        <v/>
      </c>
    </row>
    <row r="108">
      <c r="A108" t="n">
        <v>99</v>
      </c>
      <c r="B108" s="5" t="n">
        <v>9.983700000000001</v>
      </c>
      <c r="C108">
        <f>IF(AND(ISNUMBER(B108),ISNUMBER(B107)),ABS(B108-B107),"")</f>
        <v/>
      </c>
    </row>
    <row r="109">
      <c r="A109" t="n">
        <v>100</v>
      </c>
      <c r="B109" s="5" t="n">
        <v>10.0359</v>
      </c>
      <c r="C109">
        <f>IF(AND(ISNUMBER(B109),ISNUMBER(B108)),ABS(B109-B108),"")</f>
        <v/>
      </c>
    </row>
    <row r="110">
      <c r="A110" t="n">
        <v>101</v>
      </c>
      <c r="B110" s="5" t="n"/>
      <c r="C110">
        <f>IF(AND(ISNUMBER(B110),ISNUMBER(B109)),ABS(B110-B109),"")</f>
        <v/>
      </c>
    </row>
    <row r="111">
      <c r="A111" t="n">
        <v>102</v>
      </c>
      <c r="B111" s="5" t="n"/>
      <c r="C111">
        <f>IF(AND(ISNUMBER(B111),ISNUMBER(B110)),ABS(B111-B110),"")</f>
        <v/>
      </c>
    </row>
    <row r="112">
      <c r="A112" t="n">
        <v>103</v>
      </c>
      <c r="B112" s="5" t="n"/>
      <c r="C112">
        <f>IF(AND(ISNUMBER(B112),ISNUMBER(B111)),ABS(B112-B111),"")</f>
        <v/>
      </c>
    </row>
    <row r="113">
      <c r="A113" t="n">
        <v>104</v>
      </c>
      <c r="B113" s="5" t="n"/>
      <c r="C113">
        <f>IF(AND(ISNUMBER(B113),ISNUMBER(B112)),ABS(B113-B112),"")</f>
        <v/>
      </c>
    </row>
    <row r="114">
      <c r="A114" t="n">
        <v>105</v>
      </c>
      <c r="B114" s="5" t="n"/>
      <c r="C114">
        <f>IF(AND(ISNUMBER(B114),ISNUMBER(B113)),ABS(B114-B113),"")</f>
        <v/>
      </c>
    </row>
    <row r="115">
      <c r="A115" t="n">
        <v>106</v>
      </c>
      <c r="B115" s="5" t="n"/>
      <c r="C115">
        <f>IF(AND(ISNUMBER(B115),ISNUMBER(B114)),ABS(B115-B114),"")</f>
        <v/>
      </c>
    </row>
    <row r="116">
      <c r="A116" t="n">
        <v>107</v>
      </c>
      <c r="B116" s="5" t="n"/>
      <c r="C116">
        <f>IF(AND(ISNUMBER(B116),ISNUMBER(B115)),ABS(B116-B115),"")</f>
        <v/>
      </c>
    </row>
    <row r="117">
      <c r="A117" t="n">
        <v>108</v>
      </c>
      <c r="B117" s="5" t="n"/>
      <c r="C117">
        <f>IF(AND(ISNUMBER(B117),ISNUMBER(B116)),ABS(B117-B116),"")</f>
        <v/>
      </c>
    </row>
    <row r="118">
      <c r="A118" t="n">
        <v>109</v>
      </c>
      <c r="B118" s="5" t="n"/>
      <c r="C118">
        <f>IF(AND(ISNUMBER(B118),ISNUMBER(B117)),ABS(B118-B117),"")</f>
        <v/>
      </c>
    </row>
    <row r="119">
      <c r="A119" t="n">
        <v>110</v>
      </c>
      <c r="B119" s="5" t="n"/>
      <c r="C119">
        <f>IF(AND(ISNUMBER(B119),ISNUMBER(B118)),ABS(B119-B118),"")</f>
        <v/>
      </c>
    </row>
    <row r="120">
      <c r="A120" t="n">
        <v>111</v>
      </c>
      <c r="B120" s="5" t="n"/>
      <c r="C120">
        <f>IF(AND(ISNUMBER(B120),ISNUMBER(B119)),ABS(B120-B119),"")</f>
        <v/>
      </c>
    </row>
    <row r="121">
      <c r="A121" t="n">
        <v>112</v>
      </c>
      <c r="B121" s="5" t="n"/>
      <c r="C121">
        <f>IF(AND(ISNUMBER(B121),ISNUMBER(B120)),ABS(B121-B120),"")</f>
        <v/>
      </c>
    </row>
    <row r="122">
      <c r="A122" t="n">
        <v>113</v>
      </c>
      <c r="B122" s="5" t="n"/>
      <c r="C122">
        <f>IF(AND(ISNUMBER(B122),ISNUMBER(B121)),ABS(B122-B121),"")</f>
        <v/>
      </c>
    </row>
    <row r="123">
      <c r="A123" t="n">
        <v>114</v>
      </c>
      <c r="B123" s="5" t="n"/>
      <c r="C123">
        <f>IF(AND(ISNUMBER(B123),ISNUMBER(B122)),ABS(B123-B122),"")</f>
        <v/>
      </c>
    </row>
    <row r="124">
      <c r="A124" t="n">
        <v>115</v>
      </c>
      <c r="B124" s="5" t="n"/>
      <c r="C124">
        <f>IF(AND(ISNUMBER(B124),ISNUMBER(B123)),ABS(B124-B123),"")</f>
        <v/>
      </c>
    </row>
    <row r="125">
      <c r="A125" t="n">
        <v>116</v>
      </c>
      <c r="B125" s="5" t="n"/>
      <c r="C125">
        <f>IF(AND(ISNUMBER(B125),ISNUMBER(B124)),ABS(B125-B124),"")</f>
        <v/>
      </c>
    </row>
    <row r="126">
      <c r="A126" t="n">
        <v>117</v>
      </c>
      <c r="B126" s="5" t="n"/>
      <c r="C126">
        <f>IF(AND(ISNUMBER(B126),ISNUMBER(B125)),ABS(B126-B125),"")</f>
        <v/>
      </c>
    </row>
    <row r="127">
      <c r="A127" t="n">
        <v>118</v>
      </c>
      <c r="B127" s="5" t="n"/>
      <c r="C127">
        <f>IF(AND(ISNUMBER(B127),ISNUMBER(B126)),ABS(B127-B126),"")</f>
        <v/>
      </c>
    </row>
    <row r="128">
      <c r="A128" t="n">
        <v>119</v>
      </c>
      <c r="B128" s="5" t="n"/>
      <c r="C128">
        <f>IF(AND(ISNUMBER(B128),ISNUMBER(B127)),ABS(B128-B127),"")</f>
        <v/>
      </c>
    </row>
    <row r="129">
      <c r="A129" t="n">
        <v>120</v>
      </c>
      <c r="B129" s="5" t="n"/>
      <c r="C129">
        <f>IF(AND(ISNUMBER(B129),ISNUMBER(B128)),ABS(B129-B128),"")</f>
        <v/>
      </c>
    </row>
    <row r="130">
      <c r="A130" t="n">
        <v>121</v>
      </c>
      <c r="B130" s="5" t="n"/>
      <c r="C130">
        <f>IF(AND(ISNUMBER(B130),ISNUMBER(B129)),ABS(B130-B129),"")</f>
        <v/>
      </c>
    </row>
    <row r="131">
      <c r="A131" t="n">
        <v>122</v>
      </c>
      <c r="B131" s="5" t="n"/>
      <c r="C131">
        <f>IF(AND(ISNUMBER(B131),ISNUMBER(B130)),ABS(B131-B130),"")</f>
        <v/>
      </c>
    </row>
    <row r="132">
      <c r="A132" t="n">
        <v>123</v>
      </c>
      <c r="B132" s="5" t="n"/>
      <c r="C132">
        <f>IF(AND(ISNUMBER(B132),ISNUMBER(B131)),ABS(B132-B131),"")</f>
        <v/>
      </c>
    </row>
    <row r="133">
      <c r="A133" t="n">
        <v>124</v>
      </c>
      <c r="B133" s="5" t="n"/>
      <c r="C133">
        <f>IF(AND(ISNUMBER(B133),ISNUMBER(B132)),ABS(B133-B132),"")</f>
        <v/>
      </c>
    </row>
    <row r="134">
      <c r="A134" t="n">
        <v>125</v>
      </c>
      <c r="B134" s="5" t="n"/>
      <c r="C134">
        <f>IF(AND(ISNUMBER(B134),ISNUMBER(B133)),ABS(B134-B133),"")</f>
        <v/>
      </c>
    </row>
    <row r="135">
      <c r="A135" t="n">
        <v>126</v>
      </c>
      <c r="B135" s="5" t="n"/>
      <c r="C135">
        <f>IF(AND(ISNUMBER(B135),ISNUMBER(B134)),ABS(B135-B134),"")</f>
        <v/>
      </c>
    </row>
    <row r="136">
      <c r="A136" t="n">
        <v>127</v>
      </c>
      <c r="B136" s="5" t="n"/>
      <c r="C136">
        <f>IF(AND(ISNUMBER(B136),ISNUMBER(B135)),ABS(B136-B135),"")</f>
        <v/>
      </c>
    </row>
    <row r="137">
      <c r="A137" t="n">
        <v>128</v>
      </c>
      <c r="B137" s="5" t="n"/>
      <c r="C137">
        <f>IF(AND(ISNUMBER(B137),ISNUMBER(B136)),ABS(B137-B136),"")</f>
        <v/>
      </c>
    </row>
    <row r="138">
      <c r="A138" t="n">
        <v>129</v>
      </c>
      <c r="B138" s="5" t="n"/>
      <c r="C138">
        <f>IF(AND(ISNUMBER(B138),ISNUMBER(B137)),ABS(B138-B137),"")</f>
        <v/>
      </c>
    </row>
    <row r="139">
      <c r="A139" t="n">
        <v>130</v>
      </c>
      <c r="B139" s="5" t="n"/>
      <c r="C139">
        <f>IF(AND(ISNUMBER(B139),ISNUMBER(B138)),ABS(B139-B138),"")</f>
        <v/>
      </c>
    </row>
    <row r="140">
      <c r="A140" t="n">
        <v>131</v>
      </c>
      <c r="B140" s="5" t="n"/>
      <c r="C140">
        <f>IF(AND(ISNUMBER(B140),ISNUMBER(B139)),ABS(B140-B139),"")</f>
        <v/>
      </c>
    </row>
    <row r="141">
      <c r="A141" t="n">
        <v>132</v>
      </c>
      <c r="B141" s="5" t="n"/>
      <c r="C141">
        <f>IF(AND(ISNUMBER(B141),ISNUMBER(B140)),ABS(B141-B140),"")</f>
        <v/>
      </c>
    </row>
    <row r="142">
      <c r="A142" t="n">
        <v>133</v>
      </c>
      <c r="B142" s="5" t="n"/>
      <c r="C142">
        <f>IF(AND(ISNUMBER(B142),ISNUMBER(B141)),ABS(B142-B141),"")</f>
        <v/>
      </c>
    </row>
    <row r="143">
      <c r="A143" t="n">
        <v>134</v>
      </c>
      <c r="B143" s="5" t="n"/>
      <c r="C143">
        <f>IF(AND(ISNUMBER(B143),ISNUMBER(B142)),ABS(B143-B142),"")</f>
        <v/>
      </c>
    </row>
    <row r="144">
      <c r="A144" t="n">
        <v>135</v>
      </c>
      <c r="B144" s="5" t="n"/>
      <c r="C144">
        <f>IF(AND(ISNUMBER(B144),ISNUMBER(B143)),ABS(B144-B143),"")</f>
        <v/>
      </c>
    </row>
    <row r="145">
      <c r="A145" t="n">
        <v>136</v>
      </c>
      <c r="B145" s="5" t="n"/>
      <c r="C145">
        <f>IF(AND(ISNUMBER(B145),ISNUMBER(B144)),ABS(B145-B144),"")</f>
        <v/>
      </c>
    </row>
    <row r="146">
      <c r="A146" t="n">
        <v>137</v>
      </c>
      <c r="B146" s="5" t="n"/>
      <c r="C146">
        <f>IF(AND(ISNUMBER(B146),ISNUMBER(B145)),ABS(B146-B145),"")</f>
        <v/>
      </c>
    </row>
    <row r="147">
      <c r="A147" t="n">
        <v>138</v>
      </c>
      <c r="B147" s="5" t="n"/>
      <c r="C147">
        <f>IF(AND(ISNUMBER(B147),ISNUMBER(B146)),ABS(B147-B146),"")</f>
        <v/>
      </c>
    </row>
    <row r="148">
      <c r="A148" t="n">
        <v>139</v>
      </c>
      <c r="B148" s="5" t="n"/>
      <c r="C148">
        <f>IF(AND(ISNUMBER(B148),ISNUMBER(B147)),ABS(B148-B147),"")</f>
        <v/>
      </c>
    </row>
    <row r="149">
      <c r="A149" t="n">
        <v>140</v>
      </c>
      <c r="B149" s="5" t="n"/>
      <c r="C149">
        <f>IF(AND(ISNUMBER(B149),ISNUMBER(B148)),ABS(B149-B148),"")</f>
        <v/>
      </c>
    </row>
    <row r="150">
      <c r="A150" t="n">
        <v>141</v>
      </c>
      <c r="B150" s="5" t="n"/>
      <c r="C150">
        <f>IF(AND(ISNUMBER(B150),ISNUMBER(B149)),ABS(B150-B149),"")</f>
        <v/>
      </c>
    </row>
    <row r="151">
      <c r="A151" t="n">
        <v>142</v>
      </c>
      <c r="B151" s="5" t="n"/>
      <c r="C151">
        <f>IF(AND(ISNUMBER(B151),ISNUMBER(B150)),ABS(B151-B150),"")</f>
        <v/>
      </c>
    </row>
    <row r="152">
      <c r="A152" t="n">
        <v>143</v>
      </c>
      <c r="B152" s="5" t="n"/>
      <c r="C152">
        <f>IF(AND(ISNUMBER(B152),ISNUMBER(B151)),ABS(B152-B151),"")</f>
        <v/>
      </c>
    </row>
    <row r="153">
      <c r="A153" t="n">
        <v>144</v>
      </c>
      <c r="B153" s="5" t="n"/>
      <c r="C153">
        <f>IF(AND(ISNUMBER(B153),ISNUMBER(B152)),ABS(B153-B152),"")</f>
        <v/>
      </c>
    </row>
    <row r="154">
      <c r="A154" t="n">
        <v>145</v>
      </c>
      <c r="B154" s="5" t="n"/>
      <c r="C154">
        <f>IF(AND(ISNUMBER(B154),ISNUMBER(B153)),ABS(B154-B153),"")</f>
        <v/>
      </c>
    </row>
    <row r="155">
      <c r="A155" t="n">
        <v>146</v>
      </c>
      <c r="B155" s="5" t="n"/>
      <c r="C155">
        <f>IF(AND(ISNUMBER(B155),ISNUMBER(B154)),ABS(B155-B154),"")</f>
        <v/>
      </c>
    </row>
    <row r="156">
      <c r="A156" t="n">
        <v>147</v>
      </c>
      <c r="B156" s="5" t="n"/>
      <c r="C156">
        <f>IF(AND(ISNUMBER(B156),ISNUMBER(B155)),ABS(B156-B155),"")</f>
        <v/>
      </c>
    </row>
    <row r="157">
      <c r="A157" t="n">
        <v>148</v>
      </c>
      <c r="B157" s="5" t="n"/>
      <c r="C157">
        <f>IF(AND(ISNUMBER(B157),ISNUMBER(B156)),ABS(B157-B156),"")</f>
        <v/>
      </c>
    </row>
    <row r="158">
      <c r="A158" t="n">
        <v>149</v>
      </c>
      <c r="B158" s="5" t="n"/>
      <c r="C158">
        <f>IF(AND(ISNUMBER(B158),ISNUMBER(B157)),ABS(B158-B157),"")</f>
        <v/>
      </c>
    </row>
    <row r="159">
      <c r="A159" t="n">
        <v>150</v>
      </c>
      <c r="B159" s="5" t="n"/>
      <c r="C159">
        <f>IF(AND(ISNUMBER(B159),ISNUMBER(B158)),ABS(B159-B158),"")</f>
        <v/>
      </c>
    </row>
    <row r="160">
      <c r="A160" t="n">
        <v>151</v>
      </c>
      <c r="B160" s="5" t="n"/>
      <c r="C160">
        <f>IF(AND(ISNUMBER(B160),ISNUMBER(B159)),ABS(B160-B159),"")</f>
        <v/>
      </c>
    </row>
    <row r="161">
      <c r="A161" t="n">
        <v>152</v>
      </c>
      <c r="B161" s="5" t="n"/>
      <c r="C161">
        <f>IF(AND(ISNUMBER(B161),ISNUMBER(B160)),ABS(B161-B160),"")</f>
        <v/>
      </c>
    </row>
    <row r="162">
      <c r="A162" t="n">
        <v>153</v>
      </c>
      <c r="B162" s="5" t="n"/>
      <c r="C162">
        <f>IF(AND(ISNUMBER(B162),ISNUMBER(B161)),ABS(B162-B161),"")</f>
        <v/>
      </c>
    </row>
    <row r="163">
      <c r="A163" t="n">
        <v>154</v>
      </c>
      <c r="B163" s="5" t="n"/>
      <c r="C163">
        <f>IF(AND(ISNUMBER(B163),ISNUMBER(B162)),ABS(B163-B162),"")</f>
        <v/>
      </c>
    </row>
    <row r="164">
      <c r="A164" t="n">
        <v>155</v>
      </c>
      <c r="B164" s="5" t="n"/>
      <c r="C164">
        <f>IF(AND(ISNUMBER(B164),ISNUMBER(B163)),ABS(B164-B163),"")</f>
        <v/>
      </c>
    </row>
    <row r="165">
      <c r="A165" t="n">
        <v>156</v>
      </c>
      <c r="B165" s="5" t="n"/>
      <c r="C165">
        <f>IF(AND(ISNUMBER(B165),ISNUMBER(B164)),ABS(B165-B164),"")</f>
        <v/>
      </c>
    </row>
    <row r="166">
      <c r="A166" t="n">
        <v>157</v>
      </c>
      <c r="B166" s="5" t="n"/>
      <c r="C166">
        <f>IF(AND(ISNUMBER(B166),ISNUMBER(B165)),ABS(B166-B165),"")</f>
        <v/>
      </c>
    </row>
    <row r="167">
      <c r="A167" t="n">
        <v>158</v>
      </c>
      <c r="B167" s="5" t="n"/>
      <c r="C167">
        <f>IF(AND(ISNUMBER(B167),ISNUMBER(B166)),ABS(B167-B166),"")</f>
        <v/>
      </c>
    </row>
    <row r="168">
      <c r="A168" t="n">
        <v>159</v>
      </c>
      <c r="B168" s="5" t="n"/>
      <c r="C168">
        <f>IF(AND(ISNUMBER(B168),ISNUMBER(B167)),ABS(B168-B167),"")</f>
        <v/>
      </c>
    </row>
    <row r="169">
      <c r="A169" t="n">
        <v>160</v>
      </c>
      <c r="B169" s="5" t="n"/>
      <c r="C169">
        <f>IF(AND(ISNUMBER(B169),ISNUMBER(B168)),ABS(B169-B168),"")</f>
        <v/>
      </c>
    </row>
    <row r="170">
      <c r="A170" t="n">
        <v>161</v>
      </c>
      <c r="B170" s="5" t="n"/>
      <c r="C170">
        <f>IF(AND(ISNUMBER(B170),ISNUMBER(B169)),ABS(B170-B169),"")</f>
        <v/>
      </c>
    </row>
    <row r="171">
      <c r="A171" t="n">
        <v>162</v>
      </c>
      <c r="B171" s="5" t="n"/>
      <c r="C171">
        <f>IF(AND(ISNUMBER(B171),ISNUMBER(B170)),ABS(B171-B170),"")</f>
        <v/>
      </c>
    </row>
    <row r="172">
      <c r="A172" t="n">
        <v>163</v>
      </c>
      <c r="B172" s="5" t="n"/>
      <c r="C172">
        <f>IF(AND(ISNUMBER(B172),ISNUMBER(B171)),ABS(B172-B171),"")</f>
        <v/>
      </c>
    </row>
    <row r="173">
      <c r="A173" t="n">
        <v>164</v>
      </c>
      <c r="B173" s="5" t="n"/>
      <c r="C173">
        <f>IF(AND(ISNUMBER(B173),ISNUMBER(B172)),ABS(B173-B172),"")</f>
        <v/>
      </c>
    </row>
    <row r="174">
      <c r="A174" t="n">
        <v>165</v>
      </c>
      <c r="B174" s="5" t="n"/>
      <c r="C174">
        <f>IF(AND(ISNUMBER(B174),ISNUMBER(B173)),ABS(B174-B173),"")</f>
        <v/>
      </c>
    </row>
    <row r="175">
      <c r="A175" t="n">
        <v>166</v>
      </c>
      <c r="B175" s="5" t="n"/>
      <c r="C175">
        <f>IF(AND(ISNUMBER(B175),ISNUMBER(B174)),ABS(B175-B174),"")</f>
        <v/>
      </c>
    </row>
    <row r="176">
      <c r="A176" t="n">
        <v>167</v>
      </c>
      <c r="B176" s="5" t="n"/>
      <c r="C176">
        <f>IF(AND(ISNUMBER(B176),ISNUMBER(B175)),ABS(B176-B175),"")</f>
        <v/>
      </c>
    </row>
    <row r="177">
      <c r="A177" t="n">
        <v>168</v>
      </c>
      <c r="B177" s="5" t="n"/>
      <c r="C177">
        <f>IF(AND(ISNUMBER(B177),ISNUMBER(B176)),ABS(B177-B176),"")</f>
        <v/>
      </c>
    </row>
    <row r="178">
      <c r="A178" t="n">
        <v>169</v>
      </c>
      <c r="B178" s="5" t="n"/>
      <c r="C178">
        <f>IF(AND(ISNUMBER(B178),ISNUMBER(B177)),ABS(B178-B177),"")</f>
        <v/>
      </c>
    </row>
    <row r="179">
      <c r="A179" t="n">
        <v>170</v>
      </c>
      <c r="B179" s="5" t="n"/>
      <c r="C179">
        <f>IF(AND(ISNUMBER(B179),ISNUMBER(B178)),ABS(B179-B178),"")</f>
        <v/>
      </c>
    </row>
    <row r="180">
      <c r="A180" t="n">
        <v>171</v>
      </c>
      <c r="B180" s="5" t="n"/>
      <c r="C180">
        <f>IF(AND(ISNUMBER(B180),ISNUMBER(B179)),ABS(B180-B179),"")</f>
        <v/>
      </c>
    </row>
    <row r="181">
      <c r="A181" t="n">
        <v>172</v>
      </c>
      <c r="B181" s="5" t="n"/>
      <c r="C181">
        <f>IF(AND(ISNUMBER(B181),ISNUMBER(B180)),ABS(B181-B180),"")</f>
        <v/>
      </c>
    </row>
    <row r="182">
      <c r="A182" t="n">
        <v>173</v>
      </c>
      <c r="B182" s="5" t="n"/>
      <c r="C182">
        <f>IF(AND(ISNUMBER(B182),ISNUMBER(B181)),ABS(B182-B181),"")</f>
        <v/>
      </c>
    </row>
    <row r="183">
      <c r="A183" t="n">
        <v>174</v>
      </c>
      <c r="B183" s="5" t="n"/>
      <c r="C183">
        <f>IF(AND(ISNUMBER(B183),ISNUMBER(B182)),ABS(B183-B182),"")</f>
        <v/>
      </c>
    </row>
    <row r="184">
      <c r="A184" t="n">
        <v>175</v>
      </c>
      <c r="B184" s="5" t="n"/>
      <c r="C184">
        <f>IF(AND(ISNUMBER(B184),ISNUMBER(B183)),ABS(B184-B183),"")</f>
        <v/>
      </c>
    </row>
    <row r="185">
      <c r="A185" t="n">
        <v>176</v>
      </c>
      <c r="B185" s="5" t="n"/>
      <c r="C185">
        <f>IF(AND(ISNUMBER(B185),ISNUMBER(B184)),ABS(B185-B184),"")</f>
        <v/>
      </c>
    </row>
    <row r="186">
      <c r="A186" t="n">
        <v>177</v>
      </c>
      <c r="B186" s="5" t="n"/>
      <c r="C186">
        <f>IF(AND(ISNUMBER(B186),ISNUMBER(B185)),ABS(B186-B185),"")</f>
        <v/>
      </c>
    </row>
    <row r="187">
      <c r="A187" t="n">
        <v>178</v>
      </c>
      <c r="B187" s="5" t="n"/>
      <c r="C187">
        <f>IF(AND(ISNUMBER(B187),ISNUMBER(B186)),ABS(B187-B186),"")</f>
        <v/>
      </c>
    </row>
    <row r="188">
      <c r="A188" t="n">
        <v>179</v>
      </c>
      <c r="B188" s="5" t="n"/>
      <c r="C188">
        <f>IF(AND(ISNUMBER(B188),ISNUMBER(B187)),ABS(B188-B187),"")</f>
        <v/>
      </c>
    </row>
    <row r="189">
      <c r="A189" t="n">
        <v>180</v>
      </c>
      <c r="B189" s="5" t="n"/>
      <c r="C189">
        <f>IF(AND(ISNUMBER(B189),ISNUMBER(B188)),ABS(B189-B188),"")</f>
        <v/>
      </c>
    </row>
    <row r="190">
      <c r="A190" t="n">
        <v>181</v>
      </c>
      <c r="B190" s="5" t="n"/>
      <c r="C190">
        <f>IF(AND(ISNUMBER(B190),ISNUMBER(B189)),ABS(B190-B189),"")</f>
        <v/>
      </c>
    </row>
    <row r="191">
      <c r="A191" t="n">
        <v>182</v>
      </c>
      <c r="B191" s="5" t="n"/>
      <c r="C191">
        <f>IF(AND(ISNUMBER(B191),ISNUMBER(B190)),ABS(B191-B190),"")</f>
        <v/>
      </c>
    </row>
    <row r="192">
      <c r="A192" t="n">
        <v>183</v>
      </c>
      <c r="B192" s="5" t="n"/>
      <c r="C192">
        <f>IF(AND(ISNUMBER(B192),ISNUMBER(B191)),ABS(B192-B191),"")</f>
        <v/>
      </c>
    </row>
    <row r="193">
      <c r="A193" t="n">
        <v>184</v>
      </c>
      <c r="B193" s="5" t="n"/>
      <c r="C193">
        <f>IF(AND(ISNUMBER(B193),ISNUMBER(B192)),ABS(B193-B192),"")</f>
        <v/>
      </c>
    </row>
    <row r="194">
      <c r="A194" t="n">
        <v>185</v>
      </c>
      <c r="B194" s="5" t="n"/>
      <c r="C194">
        <f>IF(AND(ISNUMBER(B194),ISNUMBER(B193)),ABS(B194-B193),"")</f>
        <v/>
      </c>
    </row>
    <row r="195">
      <c r="A195" t="n">
        <v>186</v>
      </c>
      <c r="B195" s="5" t="n"/>
      <c r="C195">
        <f>IF(AND(ISNUMBER(B195),ISNUMBER(B194)),ABS(B195-B194),"")</f>
        <v/>
      </c>
    </row>
    <row r="196">
      <c r="A196" t="n">
        <v>187</v>
      </c>
      <c r="B196" s="5" t="n"/>
      <c r="C196">
        <f>IF(AND(ISNUMBER(B196),ISNUMBER(B195)),ABS(B196-B195),"")</f>
        <v/>
      </c>
    </row>
    <row r="197">
      <c r="A197" t="n">
        <v>188</v>
      </c>
      <c r="B197" s="5" t="n"/>
      <c r="C197">
        <f>IF(AND(ISNUMBER(B197),ISNUMBER(B196)),ABS(B197-B196),"")</f>
        <v/>
      </c>
    </row>
    <row r="198">
      <c r="A198" t="n">
        <v>189</v>
      </c>
      <c r="B198" s="5" t="n"/>
      <c r="C198">
        <f>IF(AND(ISNUMBER(B198),ISNUMBER(B197)),ABS(B198-B197),"")</f>
        <v/>
      </c>
    </row>
    <row r="199">
      <c r="A199" t="n">
        <v>190</v>
      </c>
      <c r="B199" s="5" t="n"/>
      <c r="C199">
        <f>IF(AND(ISNUMBER(B199),ISNUMBER(B198)),ABS(B199-B198),"")</f>
        <v/>
      </c>
    </row>
    <row r="200">
      <c r="A200" t="n">
        <v>191</v>
      </c>
      <c r="B200" s="5" t="n"/>
      <c r="C200">
        <f>IF(AND(ISNUMBER(B200),ISNUMBER(B199)),ABS(B200-B199),"")</f>
        <v/>
      </c>
    </row>
    <row r="201">
      <c r="A201" t="n">
        <v>192</v>
      </c>
      <c r="B201" s="5" t="n"/>
      <c r="C201">
        <f>IF(AND(ISNUMBER(B201),ISNUMBER(B200)),ABS(B201-B200),"")</f>
        <v/>
      </c>
    </row>
    <row r="202">
      <c r="A202" t="n">
        <v>193</v>
      </c>
      <c r="B202" s="5" t="n"/>
      <c r="C202">
        <f>IF(AND(ISNUMBER(B202),ISNUMBER(B201)),ABS(B202-B201),"")</f>
        <v/>
      </c>
    </row>
    <row r="203">
      <c r="A203" t="n">
        <v>194</v>
      </c>
      <c r="B203" s="5" t="n"/>
      <c r="C203">
        <f>IF(AND(ISNUMBER(B203),ISNUMBER(B202)),ABS(B203-B202),"")</f>
        <v/>
      </c>
    </row>
    <row r="204">
      <c r="A204" t="n">
        <v>195</v>
      </c>
      <c r="B204" s="5" t="n"/>
      <c r="C204">
        <f>IF(AND(ISNUMBER(B204),ISNUMBER(B203)),ABS(B204-B203),"")</f>
        <v/>
      </c>
    </row>
    <row r="205">
      <c r="A205" t="n">
        <v>196</v>
      </c>
      <c r="B205" s="5" t="n"/>
      <c r="C205">
        <f>IF(AND(ISNUMBER(B205),ISNUMBER(B204)),ABS(B205-B204),"")</f>
        <v/>
      </c>
    </row>
    <row r="206">
      <c r="A206" t="n">
        <v>197</v>
      </c>
      <c r="B206" s="5" t="n"/>
      <c r="C206">
        <f>IF(AND(ISNUMBER(B206),ISNUMBER(B205)),ABS(B206-B205),"")</f>
        <v/>
      </c>
    </row>
    <row r="207">
      <c r="A207" t="n">
        <v>198</v>
      </c>
      <c r="B207" s="5" t="n"/>
      <c r="C207">
        <f>IF(AND(ISNUMBER(B207),ISNUMBER(B206)),ABS(B207-B206),"")</f>
        <v/>
      </c>
    </row>
    <row r="208">
      <c r="A208" t="n">
        <v>199</v>
      </c>
      <c r="B208" s="5" t="n"/>
      <c r="C208">
        <f>IF(AND(ISNUMBER(B208),ISNUMBER(B207)),ABS(B208-B207),"")</f>
        <v/>
      </c>
    </row>
    <row r="209">
      <c r="A209" t="n">
        <v>200</v>
      </c>
      <c r="B209" s="5" t="n"/>
      <c r="C209">
        <f>IF(AND(ISNUMBER(B209),ISNUMBER(B208)),ABS(B209-B208),"")</f>
        <v/>
      </c>
    </row>
    <row r="210">
      <c r="A210" t="n">
        <v>201</v>
      </c>
      <c r="B210" s="5" t="n"/>
      <c r="C210">
        <f>IF(AND(ISNUMBER(B210),ISNUMBER(B209)),ABS(B210-B209),"")</f>
        <v/>
      </c>
    </row>
    <row r="211">
      <c r="A211" t="n">
        <v>202</v>
      </c>
      <c r="B211" s="5" t="n"/>
      <c r="C211">
        <f>IF(AND(ISNUMBER(B211),ISNUMBER(B210)),ABS(B211-B210),"")</f>
        <v/>
      </c>
    </row>
    <row r="212">
      <c r="A212" t="n">
        <v>203</v>
      </c>
      <c r="B212" s="5" t="n"/>
      <c r="C212">
        <f>IF(AND(ISNUMBER(B212),ISNUMBER(B211)),ABS(B212-B211),"")</f>
        <v/>
      </c>
    </row>
    <row r="213">
      <c r="A213" t="n">
        <v>204</v>
      </c>
      <c r="B213" s="5" t="n"/>
      <c r="C213">
        <f>IF(AND(ISNUMBER(B213),ISNUMBER(B212)),ABS(B213-B212),"")</f>
        <v/>
      </c>
    </row>
    <row r="214">
      <c r="A214" t="n">
        <v>205</v>
      </c>
      <c r="B214" s="5" t="n"/>
      <c r="C214">
        <f>IF(AND(ISNUMBER(B214),ISNUMBER(B213)),ABS(B214-B213),"")</f>
        <v/>
      </c>
    </row>
    <row r="215">
      <c r="A215" t="n">
        <v>206</v>
      </c>
      <c r="B215" s="5" t="n"/>
      <c r="C215">
        <f>IF(AND(ISNUMBER(B215),ISNUMBER(B214)),ABS(B215-B214),"")</f>
        <v/>
      </c>
    </row>
    <row r="216">
      <c r="A216" t="n">
        <v>207</v>
      </c>
      <c r="B216" s="5" t="n"/>
      <c r="C216">
        <f>IF(AND(ISNUMBER(B216),ISNUMBER(B215)),ABS(B216-B215),"")</f>
        <v/>
      </c>
    </row>
    <row r="217">
      <c r="A217" t="n">
        <v>208</v>
      </c>
      <c r="B217" s="5" t="n"/>
      <c r="C217">
        <f>IF(AND(ISNUMBER(B217),ISNUMBER(B216)),ABS(B217-B216),"")</f>
        <v/>
      </c>
    </row>
    <row r="218">
      <c r="A218" t="n">
        <v>209</v>
      </c>
      <c r="B218" s="5" t="n"/>
      <c r="C218">
        <f>IF(AND(ISNUMBER(B218),ISNUMBER(B217)),ABS(B218-B217),"")</f>
        <v/>
      </c>
    </row>
    <row r="219">
      <c r="A219" t="n">
        <v>210</v>
      </c>
      <c r="B219" s="5" t="n"/>
      <c r="C219">
        <f>IF(AND(ISNUMBER(B219),ISNUMBER(B218)),ABS(B219-B218),"")</f>
        <v/>
      </c>
    </row>
    <row r="220">
      <c r="A220" t="n">
        <v>211</v>
      </c>
      <c r="B220" s="5" t="n"/>
      <c r="C220">
        <f>IF(AND(ISNUMBER(B220),ISNUMBER(B219)),ABS(B220-B219),"")</f>
        <v/>
      </c>
    </row>
    <row r="221">
      <c r="A221" t="n">
        <v>212</v>
      </c>
      <c r="B221" s="5" t="n"/>
      <c r="C221">
        <f>IF(AND(ISNUMBER(B221),ISNUMBER(B220)),ABS(B221-B220),"")</f>
        <v/>
      </c>
    </row>
    <row r="222">
      <c r="A222" t="n">
        <v>213</v>
      </c>
      <c r="B222" s="5" t="n"/>
      <c r="C222">
        <f>IF(AND(ISNUMBER(B222),ISNUMBER(B221)),ABS(B222-B221),"")</f>
        <v/>
      </c>
    </row>
    <row r="223">
      <c r="A223" t="n">
        <v>214</v>
      </c>
      <c r="B223" s="5" t="n"/>
      <c r="C223">
        <f>IF(AND(ISNUMBER(B223),ISNUMBER(B222)),ABS(B223-B222),"")</f>
        <v/>
      </c>
    </row>
    <row r="224">
      <c r="A224" t="n">
        <v>215</v>
      </c>
      <c r="B224" s="5" t="n"/>
      <c r="C224">
        <f>IF(AND(ISNUMBER(B224),ISNUMBER(B223)),ABS(B224-B223),"")</f>
        <v/>
      </c>
    </row>
    <row r="225">
      <c r="A225" t="n">
        <v>216</v>
      </c>
      <c r="B225" s="5" t="n"/>
      <c r="C225">
        <f>IF(AND(ISNUMBER(B225),ISNUMBER(B224)),ABS(B225-B224),"")</f>
        <v/>
      </c>
    </row>
    <row r="226">
      <c r="A226" t="n">
        <v>217</v>
      </c>
      <c r="B226" s="5" t="n"/>
      <c r="C226">
        <f>IF(AND(ISNUMBER(B226),ISNUMBER(B225)),ABS(B226-B225),"")</f>
        <v/>
      </c>
    </row>
    <row r="227">
      <c r="A227" t="n">
        <v>218</v>
      </c>
      <c r="B227" s="5" t="n"/>
      <c r="C227">
        <f>IF(AND(ISNUMBER(B227),ISNUMBER(B226)),ABS(B227-B226),"")</f>
        <v/>
      </c>
    </row>
    <row r="228">
      <c r="A228" t="n">
        <v>219</v>
      </c>
      <c r="B228" s="5" t="n"/>
      <c r="C228">
        <f>IF(AND(ISNUMBER(B228),ISNUMBER(B227)),ABS(B228-B227),"")</f>
        <v/>
      </c>
    </row>
    <row r="229">
      <c r="A229" t="n">
        <v>220</v>
      </c>
      <c r="B229" s="5" t="n"/>
      <c r="C229">
        <f>IF(AND(ISNUMBER(B229),ISNUMBER(B228)),ABS(B229-B228),"")</f>
        <v/>
      </c>
    </row>
    <row r="230">
      <c r="A230" t="n">
        <v>221</v>
      </c>
      <c r="B230" s="5" t="n"/>
      <c r="C230">
        <f>IF(AND(ISNUMBER(B230),ISNUMBER(B229)),ABS(B230-B229),"")</f>
        <v/>
      </c>
    </row>
    <row r="231">
      <c r="A231" t="n">
        <v>222</v>
      </c>
      <c r="B231" s="5" t="n"/>
      <c r="C231">
        <f>IF(AND(ISNUMBER(B231),ISNUMBER(B230)),ABS(B231-B230),"")</f>
        <v/>
      </c>
    </row>
    <row r="232">
      <c r="A232" t="n">
        <v>223</v>
      </c>
      <c r="B232" s="5" t="n"/>
      <c r="C232">
        <f>IF(AND(ISNUMBER(B232),ISNUMBER(B231)),ABS(B232-B231),"")</f>
        <v/>
      </c>
    </row>
    <row r="233">
      <c r="A233" t="n">
        <v>224</v>
      </c>
      <c r="B233" s="5" t="n"/>
      <c r="C233">
        <f>IF(AND(ISNUMBER(B233),ISNUMBER(B232)),ABS(B233-B232),"")</f>
        <v/>
      </c>
    </row>
    <row r="234">
      <c r="A234" t="n">
        <v>225</v>
      </c>
      <c r="B234" s="5" t="n"/>
      <c r="C234">
        <f>IF(AND(ISNUMBER(B234),ISNUMBER(B233)),ABS(B234-B233),"")</f>
        <v/>
      </c>
    </row>
    <row r="235">
      <c r="A235" t="n">
        <v>226</v>
      </c>
      <c r="B235" s="5" t="n"/>
      <c r="C235">
        <f>IF(AND(ISNUMBER(B235),ISNUMBER(B234)),ABS(B235-B234),"")</f>
        <v/>
      </c>
    </row>
    <row r="236">
      <c r="A236" t="n">
        <v>227</v>
      </c>
      <c r="B236" s="5" t="n"/>
      <c r="C236">
        <f>IF(AND(ISNUMBER(B236),ISNUMBER(B235)),ABS(B236-B235),"")</f>
        <v/>
      </c>
    </row>
    <row r="237">
      <c r="A237" t="n">
        <v>228</v>
      </c>
      <c r="B237" s="5" t="n"/>
      <c r="C237">
        <f>IF(AND(ISNUMBER(B237),ISNUMBER(B236)),ABS(B237-B236),"")</f>
        <v/>
      </c>
    </row>
    <row r="238">
      <c r="A238" t="n">
        <v>229</v>
      </c>
      <c r="B238" s="5" t="n"/>
      <c r="C238">
        <f>IF(AND(ISNUMBER(B238),ISNUMBER(B237)),ABS(B238-B237),"")</f>
        <v/>
      </c>
    </row>
    <row r="239">
      <c r="A239" t="n">
        <v>230</v>
      </c>
      <c r="B239" s="5" t="n"/>
      <c r="C239">
        <f>IF(AND(ISNUMBER(B239),ISNUMBER(B238)),ABS(B239-B238),"")</f>
        <v/>
      </c>
    </row>
    <row r="240">
      <c r="A240" t="n">
        <v>231</v>
      </c>
      <c r="B240" s="5" t="n"/>
      <c r="C240">
        <f>IF(AND(ISNUMBER(B240),ISNUMBER(B239)),ABS(B240-B239),"")</f>
        <v/>
      </c>
    </row>
    <row r="241">
      <c r="A241" t="n">
        <v>232</v>
      </c>
      <c r="B241" s="5" t="n"/>
      <c r="C241">
        <f>IF(AND(ISNUMBER(B241),ISNUMBER(B240)),ABS(B241-B240),"")</f>
        <v/>
      </c>
    </row>
    <row r="242">
      <c r="A242" t="n">
        <v>233</v>
      </c>
      <c r="B242" s="5" t="n"/>
      <c r="C242">
        <f>IF(AND(ISNUMBER(B242),ISNUMBER(B241)),ABS(B242-B241),"")</f>
        <v/>
      </c>
    </row>
    <row r="243">
      <c r="A243" t="n">
        <v>234</v>
      </c>
      <c r="B243" s="5" t="n"/>
      <c r="C243">
        <f>IF(AND(ISNUMBER(B243),ISNUMBER(B242)),ABS(B243-B242),"")</f>
        <v/>
      </c>
    </row>
    <row r="244">
      <c r="A244" t="n">
        <v>235</v>
      </c>
      <c r="B244" s="5" t="n"/>
      <c r="C244">
        <f>IF(AND(ISNUMBER(B244),ISNUMBER(B243)),ABS(B244-B243),"")</f>
        <v/>
      </c>
    </row>
    <row r="245">
      <c r="A245" t="n">
        <v>236</v>
      </c>
      <c r="B245" s="5" t="n"/>
      <c r="C245">
        <f>IF(AND(ISNUMBER(B245),ISNUMBER(B244)),ABS(B245-B244),"")</f>
        <v/>
      </c>
    </row>
    <row r="246">
      <c r="A246" t="n">
        <v>237</v>
      </c>
      <c r="B246" s="5" t="n"/>
      <c r="C246">
        <f>IF(AND(ISNUMBER(B246),ISNUMBER(B245)),ABS(B246-B245),"")</f>
        <v/>
      </c>
    </row>
    <row r="247">
      <c r="A247" t="n">
        <v>238</v>
      </c>
      <c r="B247" s="5" t="n"/>
      <c r="C247">
        <f>IF(AND(ISNUMBER(B247),ISNUMBER(B246)),ABS(B247-B246),"")</f>
        <v/>
      </c>
    </row>
    <row r="248">
      <c r="A248" t="n">
        <v>239</v>
      </c>
      <c r="B248" s="5" t="n"/>
      <c r="C248">
        <f>IF(AND(ISNUMBER(B248),ISNUMBER(B247)),ABS(B248-B247),"")</f>
        <v/>
      </c>
    </row>
    <row r="249">
      <c r="A249" t="n">
        <v>240</v>
      </c>
      <c r="B249" s="5" t="n"/>
      <c r="C249">
        <f>IF(AND(ISNUMBER(B249),ISNUMBER(B248)),ABS(B249-B248),"")</f>
        <v/>
      </c>
    </row>
    <row r="250">
      <c r="A250" t="n">
        <v>241</v>
      </c>
      <c r="B250" s="5" t="n"/>
      <c r="C250">
        <f>IF(AND(ISNUMBER(B250),ISNUMBER(B249)),ABS(B250-B249),"")</f>
        <v/>
      </c>
    </row>
    <row r="251">
      <c r="A251" t="n">
        <v>242</v>
      </c>
      <c r="B251" s="5" t="n"/>
      <c r="C251">
        <f>IF(AND(ISNUMBER(B251),ISNUMBER(B250)),ABS(B251-B250),"")</f>
        <v/>
      </c>
    </row>
    <row r="252">
      <c r="A252" t="n">
        <v>243</v>
      </c>
      <c r="B252" s="5" t="n"/>
      <c r="C252">
        <f>IF(AND(ISNUMBER(B252),ISNUMBER(B251)),ABS(B252-B251),"")</f>
        <v/>
      </c>
    </row>
    <row r="253">
      <c r="A253" t="n">
        <v>244</v>
      </c>
      <c r="B253" s="5" t="n"/>
      <c r="C253">
        <f>IF(AND(ISNUMBER(B253),ISNUMBER(B252)),ABS(B253-B252),"")</f>
        <v/>
      </c>
    </row>
    <row r="254">
      <c r="A254" t="n">
        <v>245</v>
      </c>
      <c r="B254" s="5" t="n"/>
      <c r="C254">
        <f>IF(AND(ISNUMBER(B254),ISNUMBER(B253)),ABS(B254-B253),"")</f>
        <v/>
      </c>
    </row>
    <row r="255">
      <c r="A255" t="n">
        <v>246</v>
      </c>
      <c r="B255" s="5" t="n"/>
      <c r="C255">
        <f>IF(AND(ISNUMBER(B255),ISNUMBER(B254)),ABS(B255-B254),"")</f>
        <v/>
      </c>
    </row>
    <row r="256">
      <c r="A256" t="n">
        <v>247</v>
      </c>
      <c r="B256" s="5" t="n"/>
      <c r="C256">
        <f>IF(AND(ISNUMBER(B256),ISNUMBER(B255)),ABS(B256-B255),"")</f>
        <v/>
      </c>
    </row>
    <row r="257">
      <c r="A257" t="n">
        <v>248</v>
      </c>
      <c r="B257" s="5" t="n"/>
      <c r="C257">
        <f>IF(AND(ISNUMBER(B257),ISNUMBER(B256)),ABS(B257-B256),"")</f>
        <v/>
      </c>
    </row>
    <row r="258">
      <c r="A258" t="n">
        <v>249</v>
      </c>
      <c r="B258" s="5" t="n"/>
      <c r="C258">
        <f>IF(AND(ISNUMBER(B258),ISNUMBER(B257)),ABS(B258-B257),"")</f>
        <v/>
      </c>
    </row>
    <row r="259">
      <c r="A259" t="n">
        <v>250</v>
      </c>
      <c r="B259" s="5" t="n"/>
      <c r="C259">
        <f>IF(AND(ISNUMBER(B259),ISNUMBER(B258)),ABS(B259-B258),"")</f>
        <v/>
      </c>
    </row>
    <row r="260">
      <c r="A260" t="n">
        <v>251</v>
      </c>
      <c r="B260" s="5" t="n"/>
      <c r="C260">
        <f>IF(AND(ISNUMBER(B260),ISNUMBER(B259)),ABS(B260-B259),"")</f>
        <v/>
      </c>
    </row>
    <row r="261">
      <c r="A261" t="n">
        <v>252</v>
      </c>
      <c r="B261" s="5" t="n"/>
      <c r="C261">
        <f>IF(AND(ISNUMBER(B261),ISNUMBER(B260)),ABS(B261-B260),"")</f>
        <v/>
      </c>
    </row>
    <row r="262">
      <c r="A262" t="n">
        <v>253</v>
      </c>
      <c r="B262" s="5" t="n"/>
      <c r="C262">
        <f>IF(AND(ISNUMBER(B262),ISNUMBER(B261)),ABS(B262-B261),"")</f>
        <v/>
      </c>
    </row>
    <row r="263">
      <c r="A263" t="n">
        <v>254</v>
      </c>
      <c r="B263" s="5" t="n"/>
      <c r="C263">
        <f>IF(AND(ISNUMBER(B263),ISNUMBER(B262)),ABS(B263-B262),"")</f>
        <v/>
      </c>
    </row>
    <row r="264">
      <c r="A264" t="n">
        <v>255</v>
      </c>
      <c r="B264" s="5" t="n"/>
      <c r="C264">
        <f>IF(AND(ISNUMBER(B264),ISNUMBER(B263)),ABS(B264-B263),"")</f>
        <v/>
      </c>
    </row>
    <row r="265">
      <c r="A265" t="n">
        <v>256</v>
      </c>
      <c r="B265" s="5" t="n"/>
      <c r="C265">
        <f>IF(AND(ISNUMBER(B265),ISNUMBER(B264)),ABS(B265-B264),"")</f>
        <v/>
      </c>
    </row>
    <row r="266">
      <c r="A266" t="n">
        <v>257</v>
      </c>
      <c r="B266" s="5" t="n"/>
      <c r="C266">
        <f>IF(AND(ISNUMBER(B266),ISNUMBER(B265)),ABS(B266-B265),"")</f>
        <v/>
      </c>
    </row>
    <row r="267">
      <c r="A267" t="n">
        <v>258</v>
      </c>
      <c r="B267" s="5" t="n"/>
      <c r="C267">
        <f>IF(AND(ISNUMBER(B267),ISNUMBER(B266)),ABS(B267-B266),"")</f>
        <v/>
      </c>
    </row>
    <row r="268">
      <c r="A268" t="n">
        <v>259</v>
      </c>
      <c r="B268" s="5" t="n"/>
      <c r="C268">
        <f>IF(AND(ISNUMBER(B268),ISNUMBER(B267)),ABS(B268-B267),"")</f>
        <v/>
      </c>
    </row>
    <row r="269">
      <c r="A269" t="n">
        <v>260</v>
      </c>
      <c r="B269" s="5" t="n"/>
      <c r="C269">
        <f>IF(AND(ISNUMBER(B269),ISNUMBER(B268)),ABS(B269-B268),"")</f>
        <v/>
      </c>
    </row>
    <row r="270">
      <c r="A270" t="n">
        <v>261</v>
      </c>
      <c r="B270" s="5" t="n"/>
      <c r="C270">
        <f>IF(AND(ISNUMBER(B270),ISNUMBER(B269)),ABS(B270-B269),"")</f>
        <v/>
      </c>
    </row>
    <row r="271">
      <c r="A271" t="n">
        <v>262</v>
      </c>
      <c r="B271" s="5" t="n"/>
      <c r="C271">
        <f>IF(AND(ISNUMBER(B271),ISNUMBER(B270)),ABS(B271-B270),"")</f>
        <v/>
      </c>
    </row>
    <row r="272">
      <c r="A272" t="n">
        <v>263</v>
      </c>
      <c r="B272" s="5" t="n"/>
      <c r="C272">
        <f>IF(AND(ISNUMBER(B272),ISNUMBER(B271)),ABS(B272-B271),"")</f>
        <v/>
      </c>
    </row>
    <row r="273">
      <c r="A273" t="n">
        <v>264</v>
      </c>
      <c r="B273" s="5" t="n"/>
      <c r="C273">
        <f>IF(AND(ISNUMBER(B273),ISNUMBER(B272)),ABS(B273-B272),"")</f>
        <v/>
      </c>
    </row>
    <row r="274">
      <c r="A274" t="n">
        <v>265</v>
      </c>
      <c r="B274" s="5" t="n"/>
      <c r="C274">
        <f>IF(AND(ISNUMBER(B274),ISNUMBER(B273)),ABS(B274-B273),"")</f>
        <v/>
      </c>
    </row>
    <row r="275">
      <c r="A275" t="n">
        <v>266</v>
      </c>
      <c r="B275" s="5" t="n"/>
      <c r="C275">
        <f>IF(AND(ISNUMBER(B275),ISNUMBER(B274)),ABS(B275-B274),"")</f>
        <v/>
      </c>
    </row>
    <row r="276">
      <c r="A276" t="n">
        <v>267</v>
      </c>
      <c r="B276" s="5" t="n"/>
      <c r="C276">
        <f>IF(AND(ISNUMBER(B276),ISNUMBER(B275)),ABS(B276-B275),"")</f>
        <v/>
      </c>
    </row>
    <row r="277">
      <c r="A277" t="n">
        <v>268</v>
      </c>
      <c r="B277" s="5" t="n"/>
      <c r="C277">
        <f>IF(AND(ISNUMBER(B277),ISNUMBER(B276)),ABS(B277-B276),"")</f>
        <v/>
      </c>
    </row>
    <row r="278">
      <c r="A278" t="n">
        <v>269</v>
      </c>
      <c r="B278" s="5" t="n"/>
      <c r="C278">
        <f>IF(AND(ISNUMBER(B278),ISNUMBER(B277)),ABS(B278-B277),"")</f>
        <v/>
      </c>
    </row>
    <row r="279">
      <c r="A279" t="n">
        <v>270</v>
      </c>
      <c r="B279" s="5" t="n"/>
      <c r="C279">
        <f>IF(AND(ISNUMBER(B279),ISNUMBER(B278)),ABS(B279-B278),"")</f>
        <v/>
      </c>
    </row>
    <row r="280">
      <c r="A280" t="n">
        <v>271</v>
      </c>
      <c r="B280" s="5" t="n"/>
      <c r="C280">
        <f>IF(AND(ISNUMBER(B280),ISNUMBER(B279)),ABS(B280-B279),"")</f>
        <v/>
      </c>
    </row>
    <row r="281">
      <c r="A281" t="n">
        <v>272</v>
      </c>
      <c r="B281" s="5" t="n"/>
      <c r="C281">
        <f>IF(AND(ISNUMBER(B281),ISNUMBER(B280)),ABS(B281-B280),"")</f>
        <v/>
      </c>
    </row>
    <row r="282">
      <c r="A282" t="n">
        <v>273</v>
      </c>
      <c r="B282" s="5" t="n"/>
      <c r="C282">
        <f>IF(AND(ISNUMBER(B282),ISNUMBER(B281)),ABS(B282-B281),"")</f>
        <v/>
      </c>
    </row>
    <row r="283">
      <c r="A283" t="n">
        <v>274</v>
      </c>
      <c r="B283" s="5" t="n"/>
      <c r="C283">
        <f>IF(AND(ISNUMBER(B283),ISNUMBER(B282)),ABS(B283-B282),"")</f>
        <v/>
      </c>
    </row>
    <row r="284">
      <c r="A284" t="n">
        <v>275</v>
      </c>
      <c r="B284" s="5" t="n"/>
      <c r="C284">
        <f>IF(AND(ISNUMBER(B284),ISNUMBER(B283)),ABS(B284-B283),"")</f>
        <v/>
      </c>
    </row>
    <row r="285">
      <c r="A285" t="n">
        <v>276</v>
      </c>
      <c r="B285" s="5" t="n"/>
      <c r="C285">
        <f>IF(AND(ISNUMBER(B285),ISNUMBER(B284)),ABS(B285-B284),"")</f>
        <v/>
      </c>
    </row>
    <row r="286">
      <c r="A286" t="n">
        <v>277</v>
      </c>
      <c r="B286" s="5" t="n"/>
      <c r="C286">
        <f>IF(AND(ISNUMBER(B286),ISNUMBER(B285)),ABS(B286-B285),"")</f>
        <v/>
      </c>
    </row>
    <row r="287">
      <c r="A287" t="n">
        <v>278</v>
      </c>
      <c r="B287" s="5" t="n"/>
      <c r="C287">
        <f>IF(AND(ISNUMBER(B287),ISNUMBER(B286)),ABS(B287-B286),"")</f>
        <v/>
      </c>
    </row>
    <row r="288">
      <c r="A288" t="n">
        <v>279</v>
      </c>
      <c r="B288" s="5" t="n"/>
      <c r="C288">
        <f>IF(AND(ISNUMBER(B288),ISNUMBER(B287)),ABS(B288-B287),"")</f>
        <v/>
      </c>
    </row>
    <row r="289">
      <c r="A289" t="n">
        <v>280</v>
      </c>
      <c r="B289" s="5" t="n"/>
      <c r="C289">
        <f>IF(AND(ISNUMBER(B289),ISNUMBER(B288)),ABS(B289-B288),"")</f>
        <v/>
      </c>
    </row>
    <row r="290">
      <c r="A290" t="n">
        <v>281</v>
      </c>
      <c r="B290" s="5" t="n"/>
      <c r="C290">
        <f>IF(AND(ISNUMBER(B290),ISNUMBER(B289)),ABS(B290-B289),"")</f>
        <v/>
      </c>
    </row>
    <row r="291">
      <c r="A291" t="n">
        <v>282</v>
      </c>
      <c r="B291" s="5" t="n"/>
      <c r="C291">
        <f>IF(AND(ISNUMBER(B291),ISNUMBER(B290)),ABS(B291-B290),"")</f>
        <v/>
      </c>
    </row>
    <row r="292">
      <c r="A292" t="n">
        <v>283</v>
      </c>
      <c r="B292" s="5" t="n"/>
      <c r="C292">
        <f>IF(AND(ISNUMBER(B292),ISNUMBER(B291)),ABS(B292-B291),"")</f>
        <v/>
      </c>
    </row>
    <row r="293">
      <c r="A293" t="n">
        <v>284</v>
      </c>
      <c r="B293" s="5" t="n"/>
      <c r="C293">
        <f>IF(AND(ISNUMBER(B293),ISNUMBER(B292)),ABS(B293-B292),"")</f>
        <v/>
      </c>
    </row>
    <row r="294">
      <c r="A294" t="n">
        <v>285</v>
      </c>
      <c r="B294" s="5" t="n"/>
      <c r="C294">
        <f>IF(AND(ISNUMBER(B294),ISNUMBER(B293)),ABS(B294-B293),"")</f>
        <v/>
      </c>
    </row>
    <row r="295">
      <c r="A295" t="n">
        <v>286</v>
      </c>
      <c r="B295" s="5" t="n"/>
      <c r="C295">
        <f>IF(AND(ISNUMBER(B295),ISNUMBER(B294)),ABS(B295-B294),"")</f>
        <v/>
      </c>
    </row>
    <row r="296">
      <c r="A296" t="n">
        <v>287</v>
      </c>
      <c r="B296" s="5" t="n"/>
      <c r="C296">
        <f>IF(AND(ISNUMBER(B296),ISNUMBER(B295)),ABS(B296-B295),"")</f>
        <v/>
      </c>
    </row>
    <row r="297">
      <c r="A297" t="n">
        <v>288</v>
      </c>
      <c r="B297" s="5" t="n"/>
      <c r="C297">
        <f>IF(AND(ISNUMBER(B297),ISNUMBER(B296)),ABS(B297-B296),"")</f>
        <v/>
      </c>
    </row>
    <row r="298">
      <c r="A298" t="n">
        <v>289</v>
      </c>
      <c r="B298" s="5" t="n"/>
      <c r="C298">
        <f>IF(AND(ISNUMBER(B298),ISNUMBER(B297)),ABS(B298-B297),"")</f>
        <v/>
      </c>
    </row>
    <row r="299">
      <c r="A299" t="n">
        <v>290</v>
      </c>
      <c r="B299" s="5" t="n"/>
      <c r="C299">
        <f>IF(AND(ISNUMBER(B299),ISNUMBER(B298)),ABS(B299-B298),"")</f>
        <v/>
      </c>
    </row>
    <row r="300">
      <c r="A300" t="n">
        <v>291</v>
      </c>
      <c r="B300" s="5" t="n"/>
      <c r="C300">
        <f>IF(AND(ISNUMBER(B300),ISNUMBER(B299)),ABS(B300-B299),"")</f>
        <v/>
      </c>
    </row>
    <row r="301">
      <c r="A301" t="n">
        <v>292</v>
      </c>
      <c r="B301" s="5" t="n"/>
      <c r="C301">
        <f>IF(AND(ISNUMBER(B301),ISNUMBER(B300)),ABS(B301-B300),"")</f>
        <v/>
      </c>
    </row>
    <row r="302">
      <c r="A302" t="n">
        <v>293</v>
      </c>
      <c r="B302" s="5" t="n"/>
      <c r="C302">
        <f>IF(AND(ISNUMBER(B302),ISNUMBER(B301)),ABS(B302-B301),"")</f>
        <v/>
      </c>
    </row>
    <row r="303">
      <c r="A303" t="n">
        <v>294</v>
      </c>
      <c r="B303" s="5" t="n"/>
      <c r="C303">
        <f>IF(AND(ISNUMBER(B303),ISNUMBER(B302)),ABS(B303-B302),"")</f>
        <v/>
      </c>
    </row>
    <row r="304">
      <c r="A304" t="n">
        <v>295</v>
      </c>
      <c r="B304" s="5" t="n"/>
      <c r="C304">
        <f>IF(AND(ISNUMBER(B304),ISNUMBER(B303)),ABS(B304-B303),"")</f>
        <v/>
      </c>
    </row>
    <row r="305">
      <c r="A305" t="n">
        <v>296</v>
      </c>
      <c r="B305" s="5" t="n"/>
      <c r="C305">
        <f>IF(AND(ISNUMBER(B305),ISNUMBER(B304)),ABS(B305-B304),"")</f>
        <v/>
      </c>
    </row>
    <row r="306">
      <c r="A306" t="n">
        <v>297</v>
      </c>
      <c r="B306" s="5" t="n"/>
      <c r="C306">
        <f>IF(AND(ISNUMBER(B306),ISNUMBER(B305)),ABS(B306-B305),"")</f>
        <v/>
      </c>
    </row>
    <row r="307">
      <c r="A307" t="n">
        <v>298</v>
      </c>
      <c r="B307" s="5" t="n"/>
      <c r="C307">
        <f>IF(AND(ISNUMBER(B307),ISNUMBER(B306)),ABS(B307-B306),"")</f>
        <v/>
      </c>
    </row>
    <row r="308">
      <c r="A308" t="n">
        <v>299</v>
      </c>
      <c r="B308" s="5" t="n"/>
      <c r="C308">
        <f>IF(AND(ISNUMBER(B308),ISNUMBER(B307)),ABS(B308-B307),"")</f>
        <v/>
      </c>
    </row>
    <row r="309">
      <c r="A309" t="n">
        <v>300</v>
      </c>
      <c r="B309" s="5" t="n"/>
      <c r="C309">
        <f>IF(AND(ISNUMBER(B309),ISNUMBER(B308)),ABS(B309-B308),"")</f>
        <v/>
      </c>
    </row>
    <row r="310">
      <c r="A310" t="n">
        <v>301</v>
      </c>
      <c r="B310" s="5" t="n"/>
      <c r="C310">
        <f>IF(AND(ISNUMBER(B310),ISNUMBER(B309)),ABS(B310-B309),"")</f>
        <v/>
      </c>
    </row>
    <row r="311">
      <c r="A311" t="n">
        <v>302</v>
      </c>
      <c r="B311" s="5" t="n"/>
      <c r="C311">
        <f>IF(AND(ISNUMBER(B311),ISNUMBER(B310)),ABS(B311-B310),"")</f>
        <v/>
      </c>
    </row>
    <row r="312">
      <c r="A312" t="n">
        <v>303</v>
      </c>
      <c r="B312" s="5" t="n"/>
      <c r="C312">
        <f>IF(AND(ISNUMBER(B312),ISNUMBER(B311)),ABS(B312-B311),"")</f>
        <v/>
      </c>
    </row>
    <row r="313">
      <c r="A313" t="n">
        <v>304</v>
      </c>
      <c r="B313" s="5" t="n"/>
      <c r="C313">
        <f>IF(AND(ISNUMBER(B313),ISNUMBER(B312)),ABS(B313-B312),"")</f>
        <v/>
      </c>
    </row>
    <row r="314">
      <c r="A314" t="n">
        <v>305</v>
      </c>
      <c r="B314" s="5" t="n"/>
      <c r="C314">
        <f>IF(AND(ISNUMBER(B314),ISNUMBER(B313)),ABS(B314-B313),"")</f>
        <v/>
      </c>
    </row>
    <row r="315">
      <c r="A315" t="n">
        <v>306</v>
      </c>
      <c r="B315" s="5" t="n"/>
      <c r="C315">
        <f>IF(AND(ISNUMBER(B315),ISNUMBER(B314)),ABS(B315-B314),"")</f>
        <v/>
      </c>
    </row>
    <row r="316">
      <c r="A316" t="n">
        <v>307</v>
      </c>
      <c r="B316" s="5" t="n"/>
      <c r="C316">
        <f>IF(AND(ISNUMBER(B316),ISNUMBER(B315)),ABS(B316-B315),"")</f>
        <v/>
      </c>
    </row>
    <row r="317">
      <c r="A317" t="n">
        <v>308</v>
      </c>
      <c r="B317" s="5" t="n"/>
      <c r="C317">
        <f>IF(AND(ISNUMBER(B317),ISNUMBER(B316)),ABS(B317-B316),"")</f>
        <v/>
      </c>
    </row>
    <row r="318">
      <c r="A318" t="n">
        <v>309</v>
      </c>
      <c r="B318" s="5" t="n"/>
      <c r="C318">
        <f>IF(AND(ISNUMBER(B318),ISNUMBER(B317)),ABS(B318-B317),"")</f>
        <v/>
      </c>
    </row>
    <row r="319">
      <c r="A319" t="n">
        <v>310</v>
      </c>
      <c r="B319" s="5" t="n"/>
      <c r="C319">
        <f>IF(AND(ISNUMBER(B319),ISNUMBER(B318)),ABS(B319-B318),"")</f>
        <v/>
      </c>
    </row>
    <row r="320">
      <c r="A320" t="n">
        <v>311</v>
      </c>
      <c r="B320" s="5" t="n"/>
      <c r="C320">
        <f>IF(AND(ISNUMBER(B320),ISNUMBER(B319)),ABS(B320-B319),"")</f>
        <v/>
      </c>
    </row>
    <row r="321">
      <c r="A321" t="n">
        <v>312</v>
      </c>
      <c r="B321" s="5" t="n"/>
      <c r="C321">
        <f>IF(AND(ISNUMBER(B321),ISNUMBER(B320)),ABS(B321-B320),"")</f>
        <v/>
      </c>
    </row>
    <row r="322">
      <c r="A322" t="n">
        <v>313</v>
      </c>
      <c r="B322" s="5" t="n"/>
      <c r="C322">
        <f>IF(AND(ISNUMBER(B322),ISNUMBER(B321)),ABS(B322-B321),"")</f>
        <v/>
      </c>
    </row>
    <row r="323">
      <c r="A323" t="n">
        <v>314</v>
      </c>
      <c r="B323" s="5" t="n"/>
      <c r="C323">
        <f>IF(AND(ISNUMBER(B323),ISNUMBER(B322)),ABS(B323-B322),"")</f>
        <v/>
      </c>
    </row>
    <row r="324">
      <c r="A324" t="n">
        <v>315</v>
      </c>
      <c r="B324" s="5" t="n"/>
      <c r="C324">
        <f>IF(AND(ISNUMBER(B324),ISNUMBER(B323)),ABS(B324-B323),"")</f>
        <v/>
      </c>
    </row>
    <row r="325">
      <c r="A325" t="n">
        <v>316</v>
      </c>
      <c r="B325" s="5" t="n"/>
      <c r="C325">
        <f>IF(AND(ISNUMBER(B325),ISNUMBER(B324)),ABS(B325-B324),"")</f>
        <v/>
      </c>
    </row>
    <row r="326">
      <c r="A326" t="n">
        <v>317</v>
      </c>
      <c r="B326" s="5" t="n"/>
      <c r="C326">
        <f>IF(AND(ISNUMBER(B326),ISNUMBER(B325)),ABS(B326-B325),"")</f>
        <v/>
      </c>
    </row>
    <row r="327">
      <c r="A327" t="n">
        <v>318</v>
      </c>
      <c r="B327" s="5" t="n"/>
      <c r="C327">
        <f>IF(AND(ISNUMBER(B327),ISNUMBER(B326)),ABS(B327-B326),"")</f>
        <v/>
      </c>
    </row>
    <row r="328">
      <c r="A328" t="n">
        <v>319</v>
      </c>
      <c r="B328" s="5" t="n"/>
      <c r="C328">
        <f>IF(AND(ISNUMBER(B328),ISNUMBER(B327)),ABS(B328-B327),"")</f>
        <v/>
      </c>
    </row>
    <row r="329">
      <c r="A329" t="n">
        <v>320</v>
      </c>
      <c r="B329" s="5" t="n"/>
      <c r="C329">
        <f>IF(AND(ISNUMBER(B329),ISNUMBER(B328)),ABS(B329-B328),"")</f>
        <v/>
      </c>
    </row>
    <row r="330">
      <c r="A330" t="n">
        <v>321</v>
      </c>
      <c r="B330" s="5" t="n"/>
      <c r="C330">
        <f>IF(AND(ISNUMBER(B330),ISNUMBER(B329)),ABS(B330-B329),"")</f>
        <v/>
      </c>
    </row>
    <row r="331">
      <c r="A331" t="n">
        <v>322</v>
      </c>
      <c r="B331" s="5" t="n"/>
      <c r="C331">
        <f>IF(AND(ISNUMBER(B331),ISNUMBER(B330)),ABS(B331-B330),"")</f>
        <v/>
      </c>
    </row>
    <row r="332">
      <c r="A332" t="n">
        <v>323</v>
      </c>
      <c r="B332" s="5" t="n"/>
      <c r="C332">
        <f>IF(AND(ISNUMBER(B332),ISNUMBER(B331)),ABS(B332-B331),"")</f>
        <v/>
      </c>
    </row>
    <row r="333">
      <c r="A333" t="n">
        <v>324</v>
      </c>
      <c r="B333" s="5" t="n"/>
      <c r="C333">
        <f>IF(AND(ISNUMBER(B333),ISNUMBER(B332)),ABS(B333-B332),"")</f>
        <v/>
      </c>
    </row>
    <row r="334">
      <c r="A334" t="n">
        <v>325</v>
      </c>
      <c r="B334" s="5" t="n"/>
      <c r="C334">
        <f>IF(AND(ISNUMBER(B334),ISNUMBER(B333)),ABS(B334-B333),"")</f>
        <v/>
      </c>
    </row>
    <row r="335">
      <c r="A335" t="n">
        <v>326</v>
      </c>
      <c r="B335" s="5" t="n"/>
      <c r="C335">
        <f>IF(AND(ISNUMBER(B335),ISNUMBER(B334)),ABS(B335-B334),"")</f>
        <v/>
      </c>
    </row>
    <row r="336">
      <c r="A336" t="n">
        <v>327</v>
      </c>
      <c r="B336" s="5" t="n"/>
      <c r="C336">
        <f>IF(AND(ISNUMBER(B336),ISNUMBER(B335)),ABS(B336-B335),"")</f>
        <v/>
      </c>
    </row>
    <row r="337">
      <c r="A337" t="n">
        <v>328</v>
      </c>
      <c r="B337" s="5" t="n"/>
      <c r="C337">
        <f>IF(AND(ISNUMBER(B337),ISNUMBER(B336)),ABS(B337-B336),"")</f>
        <v/>
      </c>
    </row>
    <row r="338">
      <c r="A338" t="n">
        <v>329</v>
      </c>
      <c r="B338" s="5" t="n"/>
      <c r="C338">
        <f>IF(AND(ISNUMBER(B338),ISNUMBER(B337)),ABS(B338-B337),"")</f>
        <v/>
      </c>
    </row>
    <row r="339">
      <c r="A339" t="n">
        <v>330</v>
      </c>
      <c r="B339" s="5" t="n"/>
      <c r="C339">
        <f>IF(AND(ISNUMBER(B339),ISNUMBER(B338)),ABS(B339-B338),"")</f>
        <v/>
      </c>
    </row>
    <row r="340">
      <c r="A340" t="n">
        <v>331</v>
      </c>
      <c r="B340" s="5" t="n"/>
      <c r="C340">
        <f>IF(AND(ISNUMBER(B340),ISNUMBER(B339)),ABS(B340-B339),"")</f>
        <v/>
      </c>
    </row>
    <row r="341">
      <c r="A341" t="n">
        <v>332</v>
      </c>
      <c r="B341" s="5" t="n"/>
      <c r="C341">
        <f>IF(AND(ISNUMBER(B341),ISNUMBER(B340)),ABS(B341-B340),"")</f>
        <v/>
      </c>
    </row>
    <row r="342">
      <c r="A342" t="n">
        <v>333</v>
      </c>
      <c r="B342" s="5" t="n"/>
      <c r="C342">
        <f>IF(AND(ISNUMBER(B342),ISNUMBER(B341)),ABS(B342-B341),"")</f>
        <v/>
      </c>
    </row>
    <row r="343">
      <c r="A343" t="n">
        <v>334</v>
      </c>
      <c r="B343" s="5" t="n"/>
      <c r="C343">
        <f>IF(AND(ISNUMBER(B343),ISNUMBER(B342)),ABS(B343-B342),"")</f>
        <v/>
      </c>
    </row>
    <row r="344">
      <c r="A344" t="n">
        <v>335</v>
      </c>
      <c r="B344" s="5" t="n"/>
      <c r="C344">
        <f>IF(AND(ISNUMBER(B344),ISNUMBER(B343)),ABS(B344-B343),"")</f>
        <v/>
      </c>
    </row>
    <row r="345">
      <c r="A345" t="n">
        <v>336</v>
      </c>
      <c r="B345" s="5" t="n"/>
      <c r="C345">
        <f>IF(AND(ISNUMBER(B345),ISNUMBER(B344)),ABS(B345-B344),"")</f>
        <v/>
      </c>
    </row>
    <row r="346">
      <c r="A346" t="n">
        <v>337</v>
      </c>
      <c r="B346" s="5" t="n"/>
      <c r="C346">
        <f>IF(AND(ISNUMBER(B346),ISNUMBER(B345)),ABS(B346-B345),"")</f>
        <v/>
      </c>
    </row>
    <row r="347">
      <c r="A347" t="n">
        <v>338</v>
      </c>
      <c r="B347" s="5" t="n"/>
      <c r="C347">
        <f>IF(AND(ISNUMBER(B347),ISNUMBER(B346)),ABS(B347-B346),"")</f>
        <v/>
      </c>
    </row>
    <row r="348">
      <c r="A348" t="n">
        <v>339</v>
      </c>
      <c r="B348" s="5" t="n"/>
      <c r="C348">
        <f>IF(AND(ISNUMBER(B348),ISNUMBER(B347)),ABS(B348-B347),"")</f>
        <v/>
      </c>
    </row>
    <row r="349">
      <c r="A349" t="n">
        <v>340</v>
      </c>
      <c r="B349" s="5" t="n"/>
      <c r="C349">
        <f>IF(AND(ISNUMBER(B349),ISNUMBER(B348)),ABS(B349-B348),"")</f>
        <v/>
      </c>
    </row>
    <row r="350">
      <c r="A350" t="n">
        <v>341</v>
      </c>
      <c r="B350" s="5" t="n"/>
      <c r="C350">
        <f>IF(AND(ISNUMBER(B350),ISNUMBER(B349)),ABS(B350-B349),"")</f>
        <v/>
      </c>
    </row>
    <row r="351">
      <c r="A351" t="n">
        <v>342</v>
      </c>
      <c r="B351" s="5" t="n"/>
      <c r="C351">
        <f>IF(AND(ISNUMBER(B351),ISNUMBER(B350)),ABS(B351-B350),"")</f>
        <v/>
      </c>
    </row>
    <row r="352">
      <c r="A352" t="n">
        <v>343</v>
      </c>
      <c r="B352" s="5" t="n"/>
      <c r="C352">
        <f>IF(AND(ISNUMBER(B352),ISNUMBER(B351)),ABS(B352-B351),"")</f>
        <v/>
      </c>
    </row>
    <row r="353">
      <c r="A353" t="n">
        <v>344</v>
      </c>
      <c r="B353" s="5" t="n"/>
      <c r="C353">
        <f>IF(AND(ISNUMBER(B353),ISNUMBER(B352)),ABS(B353-B352),"")</f>
        <v/>
      </c>
    </row>
    <row r="354">
      <c r="A354" t="n">
        <v>345</v>
      </c>
      <c r="B354" s="5" t="n"/>
      <c r="C354">
        <f>IF(AND(ISNUMBER(B354),ISNUMBER(B353)),ABS(B354-B353),"")</f>
        <v/>
      </c>
    </row>
    <row r="355">
      <c r="A355" t="n">
        <v>346</v>
      </c>
      <c r="B355" s="5" t="n"/>
      <c r="C355">
        <f>IF(AND(ISNUMBER(B355),ISNUMBER(B354)),ABS(B355-B354),"")</f>
        <v/>
      </c>
    </row>
    <row r="356">
      <c r="A356" t="n">
        <v>347</v>
      </c>
      <c r="B356" s="5" t="n"/>
      <c r="C356">
        <f>IF(AND(ISNUMBER(B356),ISNUMBER(B355)),ABS(B356-B355),"")</f>
        <v/>
      </c>
    </row>
    <row r="357">
      <c r="A357" t="n">
        <v>348</v>
      </c>
      <c r="B357" s="5" t="n"/>
      <c r="C357">
        <f>IF(AND(ISNUMBER(B357),ISNUMBER(B356)),ABS(B357-B356),"")</f>
        <v/>
      </c>
    </row>
    <row r="358">
      <c r="A358" t="n">
        <v>349</v>
      </c>
      <c r="B358" s="5" t="n"/>
      <c r="C358">
        <f>IF(AND(ISNUMBER(B358),ISNUMBER(B357)),ABS(B358-B357),"")</f>
        <v/>
      </c>
    </row>
    <row r="359">
      <c r="A359" t="n">
        <v>350</v>
      </c>
      <c r="B359" s="5" t="n"/>
      <c r="C359">
        <f>IF(AND(ISNUMBER(B359),ISNUMBER(B358)),ABS(B359-B358),"")</f>
        <v/>
      </c>
    </row>
    <row r="360">
      <c r="A360" t="n">
        <v>351</v>
      </c>
      <c r="B360" s="5" t="n"/>
      <c r="C360">
        <f>IF(AND(ISNUMBER(B360),ISNUMBER(B359)),ABS(B360-B359),"")</f>
        <v/>
      </c>
    </row>
    <row r="361">
      <c r="A361" t="n">
        <v>352</v>
      </c>
      <c r="B361" s="5" t="n"/>
      <c r="C361">
        <f>IF(AND(ISNUMBER(B361),ISNUMBER(B360)),ABS(B361-B360),"")</f>
        <v/>
      </c>
    </row>
    <row r="362">
      <c r="A362" t="n">
        <v>353</v>
      </c>
      <c r="B362" s="5" t="n"/>
      <c r="C362">
        <f>IF(AND(ISNUMBER(B362),ISNUMBER(B361)),ABS(B362-B361),"")</f>
        <v/>
      </c>
    </row>
    <row r="363">
      <c r="A363" t="n">
        <v>354</v>
      </c>
      <c r="B363" s="5" t="n"/>
      <c r="C363">
        <f>IF(AND(ISNUMBER(B363),ISNUMBER(B362)),ABS(B363-B362),"")</f>
        <v/>
      </c>
    </row>
    <row r="364">
      <c r="A364" t="n">
        <v>355</v>
      </c>
      <c r="B364" s="5" t="n"/>
      <c r="C364">
        <f>IF(AND(ISNUMBER(B364),ISNUMBER(B363)),ABS(B364-B363),"")</f>
        <v/>
      </c>
    </row>
    <row r="365">
      <c r="A365" t="n">
        <v>356</v>
      </c>
      <c r="B365" s="5" t="n"/>
      <c r="C365">
        <f>IF(AND(ISNUMBER(B365),ISNUMBER(B364)),ABS(B365-B364),"")</f>
        <v/>
      </c>
    </row>
    <row r="366">
      <c r="A366" t="n">
        <v>357</v>
      </c>
      <c r="B366" s="5" t="n"/>
      <c r="C366">
        <f>IF(AND(ISNUMBER(B366),ISNUMBER(B365)),ABS(B366-B365),"")</f>
        <v/>
      </c>
    </row>
    <row r="367">
      <c r="A367" t="n">
        <v>358</v>
      </c>
      <c r="B367" s="5" t="n"/>
      <c r="C367">
        <f>IF(AND(ISNUMBER(B367),ISNUMBER(B366)),ABS(B367-B366),"")</f>
        <v/>
      </c>
    </row>
    <row r="368">
      <c r="A368" t="n">
        <v>359</v>
      </c>
      <c r="B368" s="5" t="n"/>
      <c r="C368">
        <f>IF(AND(ISNUMBER(B368),ISNUMBER(B367)),ABS(B368-B367),"")</f>
        <v/>
      </c>
    </row>
    <row r="369">
      <c r="A369" t="n">
        <v>360</v>
      </c>
      <c r="B369" s="5" t="n"/>
      <c r="C369">
        <f>IF(AND(ISNUMBER(B369),ISNUMBER(B368)),ABS(B369-B368),"")</f>
        <v/>
      </c>
    </row>
    <row r="370">
      <c r="A370" t="n">
        <v>361</v>
      </c>
      <c r="B370" s="5" t="n"/>
      <c r="C370">
        <f>IF(AND(ISNUMBER(B370),ISNUMBER(B369)),ABS(B370-B369),"")</f>
        <v/>
      </c>
    </row>
    <row r="371">
      <c r="A371" t="n">
        <v>362</v>
      </c>
      <c r="B371" s="5" t="n"/>
      <c r="C371">
        <f>IF(AND(ISNUMBER(B371),ISNUMBER(B370)),ABS(B371-B370),"")</f>
        <v/>
      </c>
    </row>
    <row r="372">
      <c r="A372" t="n">
        <v>363</v>
      </c>
      <c r="B372" s="5" t="n"/>
      <c r="C372">
        <f>IF(AND(ISNUMBER(B372),ISNUMBER(B371)),ABS(B372-B371),"")</f>
        <v/>
      </c>
    </row>
    <row r="373">
      <c r="A373" t="n">
        <v>364</v>
      </c>
      <c r="B373" s="5" t="n"/>
      <c r="C373">
        <f>IF(AND(ISNUMBER(B373),ISNUMBER(B372)),ABS(B373-B372),"")</f>
        <v/>
      </c>
    </row>
    <row r="374">
      <c r="A374" t="n">
        <v>365</v>
      </c>
      <c r="B374" s="5" t="n"/>
      <c r="C374">
        <f>IF(AND(ISNUMBER(B374),ISNUMBER(B373)),ABS(B374-B373),"")</f>
        <v/>
      </c>
    </row>
    <row r="375">
      <c r="A375" t="n">
        <v>366</v>
      </c>
      <c r="B375" s="5" t="n"/>
      <c r="C375">
        <f>IF(AND(ISNUMBER(B375),ISNUMBER(B374)),ABS(B375-B374),"")</f>
        <v/>
      </c>
    </row>
    <row r="376">
      <c r="A376" t="n">
        <v>367</v>
      </c>
      <c r="B376" s="5" t="n"/>
      <c r="C376">
        <f>IF(AND(ISNUMBER(B376),ISNUMBER(B375)),ABS(B376-B375),"")</f>
        <v/>
      </c>
    </row>
    <row r="377">
      <c r="A377" t="n">
        <v>368</v>
      </c>
      <c r="B377" s="5" t="n"/>
      <c r="C377">
        <f>IF(AND(ISNUMBER(B377),ISNUMBER(B376)),ABS(B377-B376),"")</f>
        <v/>
      </c>
    </row>
    <row r="378">
      <c r="A378" t="n">
        <v>369</v>
      </c>
      <c r="B378" s="5" t="n"/>
      <c r="C378">
        <f>IF(AND(ISNUMBER(B378),ISNUMBER(B377)),ABS(B378-B377),"")</f>
        <v/>
      </c>
    </row>
    <row r="379">
      <c r="A379" t="n">
        <v>370</v>
      </c>
      <c r="B379" s="5" t="n"/>
      <c r="C379">
        <f>IF(AND(ISNUMBER(B379),ISNUMBER(B378)),ABS(B379-B378),"")</f>
        <v/>
      </c>
    </row>
    <row r="380">
      <c r="A380" t="n">
        <v>371</v>
      </c>
      <c r="B380" s="5" t="n"/>
      <c r="C380">
        <f>IF(AND(ISNUMBER(B380),ISNUMBER(B379)),ABS(B380-B379),"")</f>
        <v/>
      </c>
    </row>
    <row r="381">
      <c r="A381" t="n">
        <v>372</v>
      </c>
      <c r="B381" s="5" t="n"/>
      <c r="C381">
        <f>IF(AND(ISNUMBER(B381),ISNUMBER(B380)),ABS(B381-B380),"")</f>
        <v/>
      </c>
    </row>
    <row r="382">
      <c r="A382" t="n">
        <v>373</v>
      </c>
      <c r="B382" s="5" t="n"/>
      <c r="C382">
        <f>IF(AND(ISNUMBER(B382),ISNUMBER(B381)),ABS(B382-B381),"")</f>
        <v/>
      </c>
    </row>
    <row r="383">
      <c r="A383" t="n">
        <v>374</v>
      </c>
      <c r="B383" s="5" t="n"/>
      <c r="C383">
        <f>IF(AND(ISNUMBER(B383),ISNUMBER(B382)),ABS(B383-B382),"")</f>
        <v/>
      </c>
    </row>
    <row r="384">
      <c r="A384" t="n">
        <v>375</v>
      </c>
      <c r="B384" s="5" t="n"/>
      <c r="C384">
        <f>IF(AND(ISNUMBER(B384),ISNUMBER(B383)),ABS(B384-B383),"")</f>
        <v/>
      </c>
    </row>
    <row r="385">
      <c r="A385" t="n">
        <v>376</v>
      </c>
      <c r="B385" s="5" t="n"/>
      <c r="C385">
        <f>IF(AND(ISNUMBER(B385),ISNUMBER(B384)),ABS(B385-B384),"")</f>
        <v/>
      </c>
    </row>
    <row r="386">
      <c r="A386" t="n">
        <v>377</v>
      </c>
      <c r="B386" s="5" t="n"/>
      <c r="C386">
        <f>IF(AND(ISNUMBER(B386),ISNUMBER(B385)),ABS(B386-B385),"")</f>
        <v/>
      </c>
    </row>
    <row r="387">
      <c r="A387" t="n">
        <v>378</v>
      </c>
      <c r="B387" s="5" t="n"/>
      <c r="C387">
        <f>IF(AND(ISNUMBER(B387),ISNUMBER(B386)),ABS(B387-B386),"")</f>
        <v/>
      </c>
    </row>
    <row r="388">
      <c r="A388" t="n">
        <v>379</v>
      </c>
      <c r="B388" s="5" t="n"/>
      <c r="C388">
        <f>IF(AND(ISNUMBER(B388),ISNUMBER(B387)),ABS(B388-B387),"")</f>
        <v/>
      </c>
    </row>
    <row r="389">
      <c r="A389" t="n">
        <v>380</v>
      </c>
      <c r="B389" s="5" t="n"/>
      <c r="C389">
        <f>IF(AND(ISNUMBER(B389),ISNUMBER(B388)),ABS(B389-B388),"")</f>
        <v/>
      </c>
    </row>
    <row r="390">
      <c r="A390" t="n">
        <v>381</v>
      </c>
      <c r="B390" s="5" t="n"/>
      <c r="C390">
        <f>IF(AND(ISNUMBER(B390),ISNUMBER(B389)),ABS(B390-B389),"")</f>
        <v/>
      </c>
    </row>
    <row r="391">
      <c r="A391" t="n">
        <v>382</v>
      </c>
      <c r="B391" s="5" t="n"/>
      <c r="C391">
        <f>IF(AND(ISNUMBER(B391),ISNUMBER(B390)),ABS(B391-B390),"")</f>
        <v/>
      </c>
    </row>
    <row r="392">
      <c r="A392" t="n">
        <v>383</v>
      </c>
      <c r="B392" s="5" t="n"/>
      <c r="C392">
        <f>IF(AND(ISNUMBER(B392),ISNUMBER(B391)),ABS(B392-B391),"")</f>
        <v/>
      </c>
    </row>
    <row r="393">
      <c r="A393" t="n">
        <v>384</v>
      </c>
      <c r="B393" s="5" t="n"/>
      <c r="C393">
        <f>IF(AND(ISNUMBER(B393),ISNUMBER(B392)),ABS(B393-B392),"")</f>
        <v/>
      </c>
    </row>
    <row r="394">
      <c r="A394" t="n">
        <v>385</v>
      </c>
      <c r="B394" s="5" t="n"/>
      <c r="C394">
        <f>IF(AND(ISNUMBER(B394),ISNUMBER(B393)),ABS(B394-B393),"")</f>
        <v/>
      </c>
    </row>
    <row r="395">
      <c r="A395" t="n">
        <v>386</v>
      </c>
      <c r="B395" s="5" t="n"/>
      <c r="C395">
        <f>IF(AND(ISNUMBER(B395),ISNUMBER(B394)),ABS(B395-B394),"")</f>
        <v/>
      </c>
    </row>
    <row r="396">
      <c r="A396" t="n">
        <v>387</v>
      </c>
      <c r="B396" s="5" t="n"/>
      <c r="C396">
        <f>IF(AND(ISNUMBER(B396),ISNUMBER(B395)),ABS(B396-B395),"")</f>
        <v/>
      </c>
    </row>
    <row r="397">
      <c r="A397" t="n">
        <v>388</v>
      </c>
      <c r="B397" s="5" t="n"/>
      <c r="C397">
        <f>IF(AND(ISNUMBER(B397),ISNUMBER(B396)),ABS(B397-B396),"")</f>
        <v/>
      </c>
    </row>
    <row r="398">
      <c r="A398" t="n">
        <v>389</v>
      </c>
      <c r="B398" s="5" t="n"/>
      <c r="C398">
        <f>IF(AND(ISNUMBER(B398),ISNUMBER(B397)),ABS(B398-B397),"")</f>
        <v/>
      </c>
    </row>
    <row r="399">
      <c r="A399" t="n">
        <v>390</v>
      </c>
      <c r="B399" s="5" t="n"/>
      <c r="C399">
        <f>IF(AND(ISNUMBER(B399),ISNUMBER(B398)),ABS(B399-B398),"")</f>
        <v/>
      </c>
    </row>
    <row r="400">
      <c r="A400" t="n">
        <v>391</v>
      </c>
      <c r="B400" s="5" t="n"/>
      <c r="C400">
        <f>IF(AND(ISNUMBER(B400),ISNUMBER(B399)),ABS(B400-B399),"")</f>
        <v/>
      </c>
    </row>
    <row r="401">
      <c r="A401" t="n">
        <v>392</v>
      </c>
      <c r="B401" s="5" t="n"/>
      <c r="C401">
        <f>IF(AND(ISNUMBER(B401),ISNUMBER(B400)),ABS(B401-B400),"")</f>
        <v/>
      </c>
    </row>
    <row r="402">
      <c r="A402" t="n">
        <v>393</v>
      </c>
      <c r="B402" s="5" t="n"/>
      <c r="C402">
        <f>IF(AND(ISNUMBER(B402),ISNUMBER(B401)),ABS(B402-B401),"")</f>
        <v/>
      </c>
    </row>
    <row r="403">
      <c r="A403" t="n">
        <v>394</v>
      </c>
      <c r="B403" s="5" t="n"/>
      <c r="C403">
        <f>IF(AND(ISNUMBER(B403),ISNUMBER(B402)),ABS(B403-B402),"")</f>
        <v/>
      </c>
    </row>
    <row r="404">
      <c r="A404" t="n">
        <v>395</v>
      </c>
      <c r="B404" s="5" t="n"/>
      <c r="C404">
        <f>IF(AND(ISNUMBER(B404),ISNUMBER(B403)),ABS(B404-B403),"")</f>
        <v/>
      </c>
    </row>
    <row r="405">
      <c r="A405" t="n">
        <v>396</v>
      </c>
      <c r="B405" s="5" t="n"/>
      <c r="C405">
        <f>IF(AND(ISNUMBER(B405),ISNUMBER(B404)),ABS(B405-B404),"")</f>
        <v/>
      </c>
    </row>
    <row r="406">
      <c r="A406" t="n">
        <v>397</v>
      </c>
      <c r="B406" s="5" t="n"/>
      <c r="C406">
        <f>IF(AND(ISNUMBER(B406),ISNUMBER(B405)),ABS(B406-B405),"")</f>
        <v/>
      </c>
    </row>
    <row r="407">
      <c r="A407" t="n">
        <v>398</v>
      </c>
      <c r="B407" s="5" t="n"/>
      <c r="C407">
        <f>IF(AND(ISNUMBER(B407),ISNUMBER(B406)),ABS(B407-B406),"")</f>
        <v/>
      </c>
    </row>
    <row r="408">
      <c r="A408" t="n">
        <v>399</v>
      </c>
      <c r="B408" s="5" t="n"/>
      <c r="C408">
        <f>IF(AND(ISNUMBER(B408),ISNUMBER(B407)),ABS(B408-B407),"")</f>
        <v/>
      </c>
    </row>
    <row r="409">
      <c r="A409" t="n">
        <v>400</v>
      </c>
      <c r="B409" s="5" t="n"/>
      <c r="C409">
        <f>IF(AND(ISNUMBER(B409),ISNUMBER(B408)),ABS(B409-B408),"")</f>
        <v/>
      </c>
    </row>
    <row r="410">
      <c r="A410" t="n">
        <v>401</v>
      </c>
      <c r="B410" s="5" t="n"/>
      <c r="C410">
        <f>IF(AND(ISNUMBER(B410),ISNUMBER(B409)),ABS(B410-B409),"")</f>
        <v/>
      </c>
    </row>
    <row r="411">
      <c r="A411" t="n">
        <v>402</v>
      </c>
      <c r="B411" s="5" t="n"/>
      <c r="C411">
        <f>IF(AND(ISNUMBER(B411),ISNUMBER(B410)),ABS(B411-B410),"")</f>
        <v/>
      </c>
    </row>
    <row r="412">
      <c r="A412" t="n">
        <v>403</v>
      </c>
      <c r="B412" s="5" t="n"/>
      <c r="C412">
        <f>IF(AND(ISNUMBER(B412),ISNUMBER(B411)),ABS(B412-B411),"")</f>
        <v/>
      </c>
    </row>
    <row r="413">
      <c r="A413" t="n">
        <v>404</v>
      </c>
      <c r="B413" s="5" t="n"/>
      <c r="C413">
        <f>IF(AND(ISNUMBER(B413),ISNUMBER(B412)),ABS(B413-B412),"")</f>
        <v/>
      </c>
    </row>
    <row r="414">
      <c r="A414" t="n">
        <v>405</v>
      </c>
      <c r="B414" s="5" t="n"/>
      <c r="C414">
        <f>IF(AND(ISNUMBER(B414),ISNUMBER(B413)),ABS(B414-B413),"")</f>
        <v/>
      </c>
    </row>
    <row r="415">
      <c r="A415" t="n">
        <v>406</v>
      </c>
      <c r="B415" s="5" t="n"/>
      <c r="C415">
        <f>IF(AND(ISNUMBER(B415),ISNUMBER(B414)),ABS(B415-B414),"")</f>
        <v/>
      </c>
    </row>
    <row r="416">
      <c r="A416" t="n">
        <v>407</v>
      </c>
      <c r="B416" s="5" t="n"/>
      <c r="C416">
        <f>IF(AND(ISNUMBER(B416),ISNUMBER(B415)),ABS(B416-B415),"")</f>
        <v/>
      </c>
    </row>
    <row r="417">
      <c r="A417" t="n">
        <v>408</v>
      </c>
      <c r="B417" s="5" t="n"/>
      <c r="C417">
        <f>IF(AND(ISNUMBER(B417),ISNUMBER(B416)),ABS(B417-B416),"")</f>
        <v/>
      </c>
    </row>
    <row r="418">
      <c r="A418" t="n">
        <v>409</v>
      </c>
      <c r="B418" s="5" t="n"/>
      <c r="C418">
        <f>IF(AND(ISNUMBER(B418),ISNUMBER(B417)),ABS(B418-B417),"")</f>
        <v/>
      </c>
    </row>
    <row r="419">
      <c r="A419" t="n">
        <v>410</v>
      </c>
      <c r="B419" s="5" t="n"/>
      <c r="C419">
        <f>IF(AND(ISNUMBER(B419),ISNUMBER(B418)),ABS(B419-B418),"")</f>
        <v/>
      </c>
    </row>
    <row r="420">
      <c r="A420" t="n">
        <v>411</v>
      </c>
      <c r="B420" s="5" t="n"/>
      <c r="C420">
        <f>IF(AND(ISNUMBER(B420),ISNUMBER(B419)),ABS(B420-B419),"")</f>
        <v/>
      </c>
    </row>
    <row r="421">
      <c r="A421" t="n">
        <v>412</v>
      </c>
      <c r="B421" s="5" t="n"/>
      <c r="C421">
        <f>IF(AND(ISNUMBER(B421),ISNUMBER(B420)),ABS(B421-B420),"")</f>
        <v/>
      </c>
    </row>
    <row r="422">
      <c r="A422" t="n">
        <v>413</v>
      </c>
      <c r="B422" s="5" t="n"/>
      <c r="C422">
        <f>IF(AND(ISNUMBER(B422),ISNUMBER(B421)),ABS(B422-B421),"")</f>
        <v/>
      </c>
    </row>
    <row r="423">
      <c r="A423" t="n">
        <v>414</v>
      </c>
      <c r="B423" s="5" t="n"/>
      <c r="C423">
        <f>IF(AND(ISNUMBER(B423),ISNUMBER(B422)),ABS(B423-B422),"")</f>
        <v/>
      </c>
    </row>
    <row r="424">
      <c r="A424" t="n">
        <v>415</v>
      </c>
      <c r="B424" s="5" t="n"/>
      <c r="C424">
        <f>IF(AND(ISNUMBER(B424),ISNUMBER(B423)),ABS(B424-B423),"")</f>
        <v/>
      </c>
    </row>
    <row r="425">
      <c r="A425" t="n">
        <v>416</v>
      </c>
      <c r="B425" s="5" t="n"/>
      <c r="C425">
        <f>IF(AND(ISNUMBER(B425),ISNUMBER(B424)),ABS(B425-B424),"")</f>
        <v/>
      </c>
    </row>
    <row r="426">
      <c r="A426" t="n">
        <v>417</v>
      </c>
      <c r="B426" s="5" t="n"/>
      <c r="C426">
        <f>IF(AND(ISNUMBER(B426),ISNUMBER(B425)),ABS(B426-B425),"")</f>
        <v/>
      </c>
    </row>
    <row r="427">
      <c r="A427" t="n">
        <v>418</v>
      </c>
      <c r="B427" s="5" t="n"/>
      <c r="C427">
        <f>IF(AND(ISNUMBER(B427),ISNUMBER(B426)),ABS(B427-B426),"")</f>
        <v/>
      </c>
    </row>
    <row r="428">
      <c r="A428" t="n">
        <v>419</v>
      </c>
      <c r="B428" s="5" t="n"/>
      <c r="C428">
        <f>IF(AND(ISNUMBER(B428),ISNUMBER(B427)),ABS(B428-B427),"")</f>
        <v/>
      </c>
    </row>
    <row r="429">
      <c r="A429" t="n">
        <v>420</v>
      </c>
      <c r="B429" s="5" t="n"/>
      <c r="C429">
        <f>IF(AND(ISNUMBER(B429),ISNUMBER(B428)),ABS(B429-B428),"")</f>
        <v/>
      </c>
    </row>
    <row r="430">
      <c r="A430" t="n">
        <v>421</v>
      </c>
      <c r="B430" s="5" t="n"/>
      <c r="C430">
        <f>IF(AND(ISNUMBER(B430),ISNUMBER(B429)),ABS(B430-B429),"")</f>
        <v/>
      </c>
    </row>
    <row r="431">
      <c r="A431" t="n">
        <v>422</v>
      </c>
      <c r="B431" s="5" t="n"/>
      <c r="C431">
        <f>IF(AND(ISNUMBER(B431),ISNUMBER(B430)),ABS(B431-B430),"")</f>
        <v/>
      </c>
    </row>
    <row r="432">
      <c r="A432" t="n">
        <v>423</v>
      </c>
      <c r="B432" s="5" t="n"/>
      <c r="C432">
        <f>IF(AND(ISNUMBER(B432),ISNUMBER(B431)),ABS(B432-B431),"")</f>
        <v/>
      </c>
    </row>
    <row r="433">
      <c r="A433" t="n">
        <v>424</v>
      </c>
      <c r="B433" s="5" t="n"/>
      <c r="C433">
        <f>IF(AND(ISNUMBER(B433),ISNUMBER(B432)),ABS(B433-B432),"")</f>
        <v/>
      </c>
    </row>
    <row r="434">
      <c r="A434" t="n">
        <v>425</v>
      </c>
      <c r="B434" s="5" t="n"/>
      <c r="C434">
        <f>IF(AND(ISNUMBER(B434),ISNUMBER(B433)),ABS(B434-B433),"")</f>
        <v/>
      </c>
    </row>
    <row r="435">
      <c r="A435" t="n">
        <v>426</v>
      </c>
      <c r="B435" s="5" t="n"/>
      <c r="C435">
        <f>IF(AND(ISNUMBER(B435),ISNUMBER(B434)),ABS(B435-B434),"")</f>
        <v/>
      </c>
    </row>
    <row r="436">
      <c r="A436" t="n">
        <v>427</v>
      </c>
      <c r="B436" s="5" t="n"/>
      <c r="C436">
        <f>IF(AND(ISNUMBER(B436),ISNUMBER(B435)),ABS(B436-B435),"")</f>
        <v/>
      </c>
    </row>
    <row r="437">
      <c r="A437" t="n">
        <v>428</v>
      </c>
      <c r="B437" s="5" t="n"/>
      <c r="C437">
        <f>IF(AND(ISNUMBER(B437),ISNUMBER(B436)),ABS(B437-B436),"")</f>
        <v/>
      </c>
    </row>
    <row r="438">
      <c r="A438" t="n">
        <v>429</v>
      </c>
      <c r="B438" s="5" t="n"/>
      <c r="C438">
        <f>IF(AND(ISNUMBER(B438),ISNUMBER(B437)),ABS(B438-B437),"")</f>
        <v/>
      </c>
    </row>
    <row r="439">
      <c r="A439" t="n">
        <v>430</v>
      </c>
      <c r="B439" s="5" t="n"/>
      <c r="C439">
        <f>IF(AND(ISNUMBER(B439),ISNUMBER(B438)),ABS(B439-B438),"")</f>
        <v/>
      </c>
    </row>
    <row r="440">
      <c r="A440" t="n">
        <v>431</v>
      </c>
      <c r="B440" s="5" t="n"/>
      <c r="C440">
        <f>IF(AND(ISNUMBER(B440),ISNUMBER(B439)),ABS(B440-B439),"")</f>
        <v/>
      </c>
    </row>
    <row r="441">
      <c r="A441" t="n">
        <v>432</v>
      </c>
      <c r="B441" s="5" t="n"/>
      <c r="C441">
        <f>IF(AND(ISNUMBER(B441),ISNUMBER(B440)),ABS(B441-B440),"")</f>
        <v/>
      </c>
    </row>
    <row r="442">
      <c r="A442" t="n">
        <v>433</v>
      </c>
      <c r="B442" s="5" t="n"/>
      <c r="C442">
        <f>IF(AND(ISNUMBER(B442),ISNUMBER(B441)),ABS(B442-B441),"")</f>
        <v/>
      </c>
    </row>
    <row r="443">
      <c r="A443" t="n">
        <v>434</v>
      </c>
      <c r="B443" s="5" t="n"/>
      <c r="C443">
        <f>IF(AND(ISNUMBER(B443),ISNUMBER(B442)),ABS(B443-B442),"")</f>
        <v/>
      </c>
    </row>
    <row r="444">
      <c r="A444" t="n">
        <v>435</v>
      </c>
      <c r="B444" s="5" t="n"/>
      <c r="C444">
        <f>IF(AND(ISNUMBER(B444),ISNUMBER(B443)),ABS(B444-B443),"")</f>
        <v/>
      </c>
    </row>
    <row r="445">
      <c r="A445" t="n">
        <v>436</v>
      </c>
      <c r="B445" s="5" t="n"/>
      <c r="C445">
        <f>IF(AND(ISNUMBER(B445),ISNUMBER(B444)),ABS(B445-B444),"")</f>
        <v/>
      </c>
    </row>
    <row r="446">
      <c r="A446" t="n">
        <v>437</v>
      </c>
      <c r="B446" s="5" t="n"/>
      <c r="C446">
        <f>IF(AND(ISNUMBER(B446),ISNUMBER(B445)),ABS(B446-B445),"")</f>
        <v/>
      </c>
    </row>
    <row r="447">
      <c r="A447" t="n">
        <v>438</v>
      </c>
      <c r="B447" s="5" t="n"/>
      <c r="C447">
        <f>IF(AND(ISNUMBER(B447),ISNUMBER(B446)),ABS(B447-B446),"")</f>
        <v/>
      </c>
    </row>
    <row r="448">
      <c r="A448" t="n">
        <v>439</v>
      </c>
      <c r="B448" s="5" t="n"/>
      <c r="C448">
        <f>IF(AND(ISNUMBER(B448),ISNUMBER(B447)),ABS(B448-B447),"")</f>
        <v/>
      </c>
    </row>
    <row r="449">
      <c r="A449" t="n">
        <v>440</v>
      </c>
      <c r="B449" s="5" t="n"/>
      <c r="C449">
        <f>IF(AND(ISNUMBER(B449),ISNUMBER(B448)),ABS(B449-B448),"")</f>
        <v/>
      </c>
    </row>
    <row r="450">
      <c r="A450" t="n">
        <v>441</v>
      </c>
      <c r="B450" s="5" t="n"/>
      <c r="C450">
        <f>IF(AND(ISNUMBER(B450),ISNUMBER(B449)),ABS(B450-B449),"")</f>
        <v/>
      </c>
    </row>
    <row r="451">
      <c r="A451" t="n">
        <v>442</v>
      </c>
      <c r="B451" s="5" t="n"/>
      <c r="C451">
        <f>IF(AND(ISNUMBER(B451),ISNUMBER(B450)),ABS(B451-B450),"")</f>
        <v/>
      </c>
    </row>
    <row r="452">
      <c r="A452" t="n">
        <v>443</v>
      </c>
      <c r="B452" s="5" t="n"/>
      <c r="C452">
        <f>IF(AND(ISNUMBER(B452),ISNUMBER(B451)),ABS(B452-B451),"")</f>
        <v/>
      </c>
    </row>
    <row r="453">
      <c r="A453" t="n">
        <v>444</v>
      </c>
      <c r="B453" s="5" t="n"/>
      <c r="C453">
        <f>IF(AND(ISNUMBER(B453),ISNUMBER(B452)),ABS(B453-B452),"")</f>
        <v/>
      </c>
    </row>
    <row r="454">
      <c r="A454" t="n">
        <v>445</v>
      </c>
      <c r="B454" s="5" t="n"/>
      <c r="C454">
        <f>IF(AND(ISNUMBER(B454),ISNUMBER(B453)),ABS(B454-B453),"")</f>
        <v/>
      </c>
    </row>
    <row r="455">
      <c r="A455" t="n">
        <v>446</v>
      </c>
      <c r="B455" s="5" t="n"/>
      <c r="C455">
        <f>IF(AND(ISNUMBER(B455),ISNUMBER(B454)),ABS(B455-B454),"")</f>
        <v/>
      </c>
    </row>
    <row r="456">
      <c r="A456" t="n">
        <v>447</v>
      </c>
      <c r="B456" s="5" t="n"/>
      <c r="C456">
        <f>IF(AND(ISNUMBER(B456),ISNUMBER(B455)),ABS(B456-B455),"")</f>
        <v/>
      </c>
    </row>
    <row r="457">
      <c r="A457" t="n">
        <v>448</v>
      </c>
      <c r="B457" s="5" t="n"/>
      <c r="C457">
        <f>IF(AND(ISNUMBER(B457),ISNUMBER(B456)),ABS(B457-B456),"")</f>
        <v/>
      </c>
    </row>
    <row r="458">
      <c r="A458" t="n">
        <v>449</v>
      </c>
      <c r="B458" s="5" t="n"/>
      <c r="C458">
        <f>IF(AND(ISNUMBER(B458),ISNUMBER(B457)),ABS(B458-B457),"")</f>
        <v/>
      </c>
    </row>
    <row r="459">
      <c r="A459" t="n">
        <v>450</v>
      </c>
      <c r="B459" s="5" t="n"/>
      <c r="C459">
        <f>IF(AND(ISNUMBER(B459),ISNUMBER(B458)),ABS(B459-B458),"")</f>
        <v/>
      </c>
    </row>
    <row r="460">
      <c r="A460" t="n">
        <v>451</v>
      </c>
      <c r="B460" s="5" t="n"/>
      <c r="C460">
        <f>IF(AND(ISNUMBER(B460),ISNUMBER(B459)),ABS(B460-B459),"")</f>
        <v/>
      </c>
    </row>
    <row r="461">
      <c r="A461" t="n">
        <v>452</v>
      </c>
      <c r="B461" s="5" t="n"/>
      <c r="C461">
        <f>IF(AND(ISNUMBER(B461),ISNUMBER(B460)),ABS(B461-B460),"")</f>
        <v/>
      </c>
    </row>
    <row r="462">
      <c r="A462" t="n">
        <v>453</v>
      </c>
      <c r="B462" s="5" t="n"/>
      <c r="C462">
        <f>IF(AND(ISNUMBER(B462),ISNUMBER(B461)),ABS(B462-B461),"")</f>
        <v/>
      </c>
    </row>
    <row r="463">
      <c r="A463" t="n">
        <v>454</v>
      </c>
      <c r="B463" s="5" t="n"/>
      <c r="C463">
        <f>IF(AND(ISNUMBER(B463),ISNUMBER(B462)),ABS(B463-B462),"")</f>
        <v/>
      </c>
    </row>
    <row r="464">
      <c r="A464" t="n">
        <v>455</v>
      </c>
      <c r="B464" s="5" t="n"/>
      <c r="C464">
        <f>IF(AND(ISNUMBER(B464),ISNUMBER(B463)),ABS(B464-B463),"")</f>
        <v/>
      </c>
    </row>
    <row r="465">
      <c r="A465" t="n">
        <v>456</v>
      </c>
      <c r="B465" s="5" t="n"/>
      <c r="C465">
        <f>IF(AND(ISNUMBER(B465),ISNUMBER(B464)),ABS(B465-B464),"")</f>
        <v/>
      </c>
    </row>
    <row r="466">
      <c r="A466" t="n">
        <v>457</v>
      </c>
      <c r="B466" s="5" t="n"/>
      <c r="C466">
        <f>IF(AND(ISNUMBER(B466),ISNUMBER(B465)),ABS(B466-B465),"")</f>
        <v/>
      </c>
    </row>
    <row r="467">
      <c r="A467" t="n">
        <v>458</v>
      </c>
      <c r="B467" s="5" t="n"/>
      <c r="C467">
        <f>IF(AND(ISNUMBER(B467),ISNUMBER(B466)),ABS(B467-B466),"")</f>
        <v/>
      </c>
    </row>
    <row r="468">
      <c r="A468" t="n">
        <v>459</v>
      </c>
      <c r="B468" s="5" t="n"/>
      <c r="C468">
        <f>IF(AND(ISNUMBER(B468),ISNUMBER(B467)),ABS(B468-B467),"")</f>
        <v/>
      </c>
    </row>
    <row r="469">
      <c r="A469" t="n">
        <v>460</v>
      </c>
      <c r="B469" s="5" t="n"/>
      <c r="C469">
        <f>IF(AND(ISNUMBER(B469),ISNUMBER(B468)),ABS(B469-B468),"")</f>
        <v/>
      </c>
    </row>
    <row r="470">
      <c r="A470" t="n">
        <v>461</v>
      </c>
      <c r="B470" s="5" t="n"/>
      <c r="C470">
        <f>IF(AND(ISNUMBER(B470),ISNUMBER(B469)),ABS(B470-B469),"")</f>
        <v/>
      </c>
    </row>
    <row r="471">
      <c r="A471" t="n">
        <v>462</v>
      </c>
      <c r="B471" s="5" t="n"/>
      <c r="C471">
        <f>IF(AND(ISNUMBER(B471),ISNUMBER(B470)),ABS(B471-B470),"")</f>
        <v/>
      </c>
    </row>
    <row r="472">
      <c r="A472" t="n">
        <v>463</v>
      </c>
      <c r="B472" s="5" t="n"/>
      <c r="C472">
        <f>IF(AND(ISNUMBER(B472),ISNUMBER(B471)),ABS(B472-B471),"")</f>
        <v/>
      </c>
    </row>
    <row r="473">
      <c r="A473" t="n">
        <v>464</v>
      </c>
      <c r="B473" s="5" t="n"/>
      <c r="C473">
        <f>IF(AND(ISNUMBER(B473),ISNUMBER(B472)),ABS(B473-B472),"")</f>
        <v/>
      </c>
    </row>
    <row r="474">
      <c r="A474" t="n">
        <v>465</v>
      </c>
      <c r="B474" s="5" t="n"/>
      <c r="C474">
        <f>IF(AND(ISNUMBER(B474),ISNUMBER(B473)),ABS(B474-B473),"")</f>
        <v/>
      </c>
    </row>
    <row r="475">
      <c r="A475" t="n">
        <v>466</v>
      </c>
      <c r="B475" s="5" t="n"/>
      <c r="C475">
        <f>IF(AND(ISNUMBER(B475),ISNUMBER(B474)),ABS(B475-B474),"")</f>
        <v/>
      </c>
    </row>
    <row r="476">
      <c r="A476" t="n">
        <v>467</v>
      </c>
      <c r="B476" s="5" t="n"/>
      <c r="C476">
        <f>IF(AND(ISNUMBER(B476),ISNUMBER(B475)),ABS(B476-B475),"")</f>
        <v/>
      </c>
    </row>
    <row r="477">
      <c r="A477" t="n">
        <v>468</v>
      </c>
      <c r="B477" s="5" t="n"/>
      <c r="C477">
        <f>IF(AND(ISNUMBER(B477),ISNUMBER(B476)),ABS(B477-B476),"")</f>
        <v/>
      </c>
    </row>
    <row r="478">
      <c r="A478" t="n">
        <v>469</v>
      </c>
      <c r="B478" s="5" t="n"/>
      <c r="C478">
        <f>IF(AND(ISNUMBER(B478),ISNUMBER(B477)),ABS(B478-B477),"")</f>
        <v/>
      </c>
    </row>
    <row r="479">
      <c r="A479" t="n">
        <v>470</v>
      </c>
      <c r="B479" s="5" t="n"/>
      <c r="C479">
        <f>IF(AND(ISNUMBER(B479),ISNUMBER(B478)),ABS(B479-B478),"")</f>
        <v/>
      </c>
    </row>
    <row r="480">
      <c r="A480" t="n">
        <v>471</v>
      </c>
      <c r="B480" s="5" t="n"/>
      <c r="C480">
        <f>IF(AND(ISNUMBER(B480),ISNUMBER(B479)),ABS(B480-B479),"")</f>
        <v/>
      </c>
    </row>
    <row r="481">
      <c r="A481" t="n">
        <v>472</v>
      </c>
      <c r="B481" s="5" t="n"/>
      <c r="C481">
        <f>IF(AND(ISNUMBER(B481),ISNUMBER(B480)),ABS(B481-B480),"")</f>
        <v/>
      </c>
    </row>
    <row r="482">
      <c r="A482" t="n">
        <v>473</v>
      </c>
      <c r="B482" s="5" t="n"/>
      <c r="C482">
        <f>IF(AND(ISNUMBER(B482),ISNUMBER(B481)),ABS(B482-B481),"")</f>
        <v/>
      </c>
    </row>
    <row r="483">
      <c r="A483" t="n">
        <v>474</v>
      </c>
      <c r="B483" s="5" t="n"/>
      <c r="C483">
        <f>IF(AND(ISNUMBER(B483),ISNUMBER(B482)),ABS(B483-B482),"")</f>
        <v/>
      </c>
    </row>
    <row r="484">
      <c r="A484" t="n">
        <v>475</v>
      </c>
      <c r="B484" s="5" t="n"/>
      <c r="C484">
        <f>IF(AND(ISNUMBER(B484),ISNUMBER(B483)),ABS(B484-B483),"")</f>
        <v/>
      </c>
    </row>
    <row r="485">
      <c r="A485" t="n">
        <v>476</v>
      </c>
      <c r="B485" s="5" t="n"/>
      <c r="C485">
        <f>IF(AND(ISNUMBER(B485),ISNUMBER(B484)),ABS(B485-B484),"")</f>
        <v/>
      </c>
    </row>
    <row r="486">
      <c r="A486" t="n">
        <v>477</v>
      </c>
      <c r="B486" s="5" t="n"/>
      <c r="C486">
        <f>IF(AND(ISNUMBER(B486),ISNUMBER(B485)),ABS(B486-B485),"")</f>
        <v/>
      </c>
    </row>
    <row r="487">
      <c r="A487" t="n">
        <v>478</v>
      </c>
      <c r="B487" s="5" t="n"/>
      <c r="C487">
        <f>IF(AND(ISNUMBER(B487),ISNUMBER(B486)),ABS(B487-B486),"")</f>
        <v/>
      </c>
    </row>
    <row r="488">
      <c r="A488" t="n">
        <v>479</v>
      </c>
      <c r="B488" s="5" t="n"/>
      <c r="C488">
        <f>IF(AND(ISNUMBER(B488),ISNUMBER(B487)),ABS(B488-B487),"")</f>
        <v/>
      </c>
    </row>
    <row r="489">
      <c r="A489" t="n">
        <v>480</v>
      </c>
      <c r="B489" s="5" t="n"/>
      <c r="C489">
        <f>IF(AND(ISNUMBER(B489),ISNUMBER(B488)),ABS(B489-B488),"")</f>
        <v/>
      </c>
    </row>
    <row r="490">
      <c r="A490" t="n">
        <v>481</v>
      </c>
      <c r="B490" s="5" t="n"/>
      <c r="C490">
        <f>IF(AND(ISNUMBER(B490),ISNUMBER(B489)),ABS(B490-B489),"")</f>
        <v/>
      </c>
    </row>
    <row r="491">
      <c r="A491" t="n">
        <v>482</v>
      </c>
      <c r="B491" s="5" t="n"/>
      <c r="C491">
        <f>IF(AND(ISNUMBER(B491),ISNUMBER(B490)),ABS(B491-B490),"")</f>
        <v/>
      </c>
    </row>
    <row r="492">
      <c r="A492" t="n">
        <v>483</v>
      </c>
      <c r="B492" s="5" t="n"/>
      <c r="C492">
        <f>IF(AND(ISNUMBER(B492),ISNUMBER(B491)),ABS(B492-B491),"")</f>
        <v/>
      </c>
    </row>
    <row r="493">
      <c r="A493" t="n">
        <v>484</v>
      </c>
      <c r="B493" s="5" t="n"/>
      <c r="C493">
        <f>IF(AND(ISNUMBER(B493),ISNUMBER(B492)),ABS(B493-B492),"")</f>
        <v/>
      </c>
    </row>
    <row r="494">
      <c r="A494" t="n">
        <v>485</v>
      </c>
      <c r="B494" s="5" t="n"/>
      <c r="C494">
        <f>IF(AND(ISNUMBER(B494),ISNUMBER(B493)),ABS(B494-B493),"")</f>
        <v/>
      </c>
    </row>
    <row r="495">
      <c r="A495" t="n">
        <v>486</v>
      </c>
      <c r="B495" s="5" t="n"/>
      <c r="C495">
        <f>IF(AND(ISNUMBER(B495),ISNUMBER(B494)),ABS(B495-B494),"")</f>
        <v/>
      </c>
    </row>
    <row r="496">
      <c r="A496" t="n">
        <v>487</v>
      </c>
      <c r="B496" s="5" t="n"/>
      <c r="C496">
        <f>IF(AND(ISNUMBER(B496),ISNUMBER(B495)),ABS(B496-B495),"")</f>
        <v/>
      </c>
    </row>
    <row r="497">
      <c r="A497" t="n">
        <v>488</v>
      </c>
      <c r="B497" s="5" t="n"/>
      <c r="C497">
        <f>IF(AND(ISNUMBER(B497),ISNUMBER(B496)),ABS(B497-B496),"")</f>
        <v/>
      </c>
    </row>
    <row r="498">
      <c r="A498" t="n">
        <v>489</v>
      </c>
      <c r="B498" s="5" t="n"/>
      <c r="C498">
        <f>IF(AND(ISNUMBER(B498),ISNUMBER(B497)),ABS(B498-B497),"")</f>
        <v/>
      </c>
    </row>
    <row r="499">
      <c r="A499" t="n">
        <v>490</v>
      </c>
      <c r="B499" s="5" t="n"/>
      <c r="C499">
        <f>IF(AND(ISNUMBER(B499),ISNUMBER(B498)),ABS(B499-B498),"")</f>
        <v/>
      </c>
    </row>
    <row r="500">
      <c r="A500" t="n">
        <v>491</v>
      </c>
      <c r="B500" s="5" t="n"/>
      <c r="C500">
        <f>IF(AND(ISNUMBER(B500),ISNUMBER(B499)),ABS(B500-B499),"")</f>
        <v/>
      </c>
    </row>
    <row r="501">
      <c r="A501" t="n">
        <v>492</v>
      </c>
      <c r="B501" s="5" t="n"/>
      <c r="C501">
        <f>IF(AND(ISNUMBER(B501),ISNUMBER(B500)),ABS(B501-B500),"")</f>
        <v/>
      </c>
    </row>
    <row r="502">
      <c r="A502" t="n">
        <v>493</v>
      </c>
      <c r="B502" s="5" t="n"/>
      <c r="C502">
        <f>IF(AND(ISNUMBER(B502),ISNUMBER(B501)),ABS(B502-B501),"")</f>
        <v/>
      </c>
    </row>
    <row r="503">
      <c r="A503" t="n">
        <v>494</v>
      </c>
      <c r="B503" s="5" t="n"/>
      <c r="C503">
        <f>IF(AND(ISNUMBER(B503),ISNUMBER(B502)),ABS(B503-B502),"")</f>
        <v/>
      </c>
    </row>
    <row r="504">
      <c r="A504" t="n">
        <v>495</v>
      </c>
      <c r="B504" s="5" t="n"/>
      <c r="C504">
        <f>IF(AND(ISNUMBER(B504),ISNUMBER(B503)),ABS(B504-B503),"")</f>
        <v/>
      </c>
    </row>
    <row r="505">
      <c r="A505" t="n">
        <v>496</v>
      </c>
      <c r="B505" s="5" t="n"/>
      <c r="C505">
        <f>IF(AND(ISNUMBER(B505),ISNUMBER(B504)),ABS(B505-B504),"")</f>
        <v/>
      </c>
    </row>
    <row r="506">
      <c r="A506" t="n">
        <v>497</v>
      </c>
      <c r="B506" s="5" t="n"/>
      <c r="C506">
        <f>IF(AND(ISNUMBER(B506),ISNUMBER(B505)),ABS(B506-B505),"")</f>
        <v/>
      </c>
    </row>
    <row r="507">
      <c r="A507" t="n">
        <v>498</v>
      </c>
      <c r="B507" s="5" t="n"/>
      <c r="C507">
        <f>IF(AND(ISNUMBER(B507),ISNUMBER(B506)),ABS(B507-B506),"")</f>
        <v/>
      </c>
    </row>
    <row r="508">
      <c r="A508" t="n">
        <v>499</v>
      </c>
      <c r="B508" s="5" t="n"/>
      <c r="C508">
        <f>IF(AND(ISNUMBER(B508),ISNUMBER(B507)),ABS(B508-B507),"")</f>
        <v/>
      </c>
    </row>
    <row r="509">
      <c r="A509" t="n">
        <v>500</v>
      </c>
      <c r="B509" s="5" t="n"/>
      <c r="C509">
        <f>IF(AND(ISNUMBER(B509),ISNUMBER(B508)),ABS(B509-B508),"")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Individuals and Moving Range Chart</t>
        </is>
      </c>
    </row>
    <row r="2">
      <c r="A2" s="2" t="inlineStr">
        <is>
          <t>Reads the values on the Capability sheet. The chart shows the first 100 samples; extend the chart ranges for more.</t>
        </is>
      </c>
    </row>
    <row r="4">
      <c r="A4" s="3" t="inlineStr">
        <is>
          <t>Sample</t>
        </is>
      </c>
      <c r="B4" s="3" t="inlineStr">
        <is>
          <t>Value</t>
        </is>
      </c>
      <c r="C4" s="3" t="inlineStr">
        <is>
          <t>CL</t>
        </is>
      </c>
      <c r="D4" s="3" t="inlineStr">
        <is>
          <t>UCL</t>
        </is>
      </c>
      <c r="E4" s="3" t="inlineStr">
        <is>
          <t>LCL</t>
        </is>
      </c>
      <c r="F4" s="3" t="inlineStr">
        <is>
          <t>MR</t>
        </is>
      </c>
      <c r="G4" s="3" t="inlineStr">
        <is>
          <t>MR-bar</t>
        </is>
      </c>
      <c r="H4" s="3" t="inlineStr">
        <is>
          <t>MR UCL</t>
        </is>
      </c>
      <c r="I4" s="3" t="inlineStr">
        <is>
          <t>Rule 1</t>
        </is>
      </c>
    </row>
    <row r="5">
      <c r="A5" t="n">
        <v>1</v>
      </c>
      <c r="B5">
        <f>IF(ISNUMBER(Capability!B10),Capability!B10,NA())</f>
        <v/>
      </c>
      <c r="C5">
        <f>Capability!$F$5</f>
        <v/>
      </c>
      <c r="D5">
        <f>Capability!$F$5+3*Capability!$F$8</f>
        <v/>
      </c>
      <c r="E5">
        <f>Capability!$F$5-3*Capability!$F$8</f>
        <v/>
      </c>
      <c r="F5">
        <f>IF(ISNUMBER(Capability!C10),Capability!C10,NA())</f>
        <v/>
      </c>
      <c r="G5">
        <f>Capability!$F$7</f>
        <v/>
      </c>
      <c r="H5">
        <f>(1+3*0.8525/1.128379)*Capability!$F$7</f>
        <v/>
      </c>
      <c r="I5">
        <f>IF(ISNUMBER(B5),IF(OR(B5&gt;D5,B5&lt;E5),"OUT",""),"")</f>
        <v/>
      </c>
    </row>
    <row r="6">
      <c r="A6" t="n">
        <v>2</v>
      </c>
      <c r="B6">
        <f>IF(ISNUMBER(Capability!B11),Capability!B11,NA())</f>
        <v/>
      </c>
      <c r="C6">
        <f>Capability!$F$5</f>
        <v/>
      </c>
      <c r="D6">
        <f>Capability!$F$5+3*Capability!$F$8</f>
        <v/>
      </c>
      <c r="E6">
        <f>Capability!$F$5-3*Capability!$F$8</f>
        <v/>
      </c>
      <c r="F6">
        <f>IF(ISNUMBER(Capability!C11),Capability!C11,NA())</f>
        <v/>
      </c>
      <c r="G6">
        <f>Capability!$F$7</f>
        <v/>
      </c>
      <c r="H6">
        <f>(1+3*0.8525/1.128379)*Capability!$F$7</f>
        <v/>
      </c>
      <c r="I6">
        <f>IF(ISNUMBER(B6),IF(OR(B6&gt;D6,B6&lt;E6),"OUT",""),"")</f>
        <v/>
      </c>
    </row>
    <row r="7">
      <c r="A7" t="n">
        <v>3</v>
      </c>
      <c r="B7">
        <f>IF(ISNUMBER(Capability!B12),Capability!B12,NA())</f>
        <v/>
      </c>
      <c r="C7">
        <f>Capability!$F$5</f>
        <v/>
      </c>
      <c r="D7">
        <f>Capability!$F$5+3*Capability!$F$8</f>
        <v/>
      </c>
      <c r="E7">
        <f>Capability!$F$5-3*Capability!$F$8</f>
        <v/>
      </c>
      <c r="F7">
        <f>IF(ISNUMBER(Capability!C12),Capability!C12,NA())</f>
        <v/>
      </c>
      <c r="G7">
        <f>Capability!$F$7</f>
        <v/>
      </c>
      <c r="H7">
        <f>(1+3*0.8525/1.128379)*Capability!$F$7</f>
        <v/>
      </c>
      <c r="I7">
        <f>IF(ISNUMBER(B7),IF(OR(B7&gt;D7,B7&lt;E7),"OUT",""),"")</f>
        <v/>
      </c>
    </row>
    <row r="8">
      <c r="A8" t="n">
        <v>4</v>
      </c>
      <c r="B8">
        <f>IF(ISNUMBER(Capability!B13),Capability!B13,NA())</f>
        <v/>
      </c>
      <c r="C8">
        <f>Capability!$F$5</f>
        <v/>
      </c>
      <c r="D8">
        <f>Capability!$F$5+3*Capability!$F$8</f>
        <v/>
      </c>
      <c r="E8">
        <f>Capability!$F$5-3*Capability!$F$8</f>
        <v/>
      </c>
      <c r="F8">
        <f>IF(ISNUMBER(Capability!C13),Capability!C13,NA())</f>
        <v/>
      </c>
      <c r="G8">
        <f>Capability!$F$7</f>
        <v/>
      </c>
      <c r="H8">
        <f>(1+3*0.8525/1.128379)*Capability!$F$7</f>
        <v/>
      </c>
      <c r="I8">
        <f>IF(ISNUMBER(B8),IF(OR(B8&gt;D8,B8&lt;E8),"OUT",""),"")</f>
        <v/>
      </c>
    </row>
    <row r="9">
      <c r="A9" t="n">
        <v>5</v>
      </c>
      <c r="B9">
        <f>IF(ISNUMBER(Capability!B14),Capability!B14,NA())</f>
        <v/>
      </c>
      <c r="C9">
        <f>Capability!$F$5</f>
        <v/>
      </c>
      <c r="D9">
        <f>Capability!$F$5+3*Capability!$F$8</f>
        <v/>
      </c>
      <c r="E9">
        <f>Capability!$F$5-3*Capability!$F$8</f>
        <v/>
      </c>
      <c r="F9">
        <f>IF(ISNUMBER(Capability!C14),Capability!C14,NA())</f>
        <v/>
      </c>
      <c r="G9">
        <f>Capability!$F$7</f>
        <v/>
      </c>
      <c r="H9">
        <f>(1+3*0.8525/1.128379)*Capability!$F$7</f>
        <v/>
      </c>
      <c r="I9">
        <f>IF(ISNUMBER(B9),IF(OR(B9&gt;D9,B9&lt;E9),"OUT",""),"")</f>
        <v/>
      </c>
    </row>
    <row r="10">
      <c r="A10" t="n">
        <v>6</v>
      </c>
      <c r="B10">
        <f>IF(ISNUMBER(Capability!B15),Capability!B15,NA())</f>
        <v/>
      </c>
      <c r="C10">
        <f>Capability!$F$5</f>
        <v/>
      </c>
      <c r="D10">
        <f>Capability!$F$5+3*Capability!$F$8</f>
        <v/>
      </c>
      <c r="E10">
        <f>Capability!$F$5-3*Capability!$F$8</f>
        <v/>
      </c>
      <c r="F10">
        <f>IF(ISNUMBER(Capability!C15),Capability!C15,NA())</f>
        <v/>
      </c>
      <c r="G10">
        <f>Capability!$F$7</f>
        <v/>
      </c>
      <c r="H10">
        <f>(1+3*0.8525/1.128379)*Capability!$F$7</f>
        <v/>
      </c>
      <c r="I10">
        <f>IF(ISNUMBER(B10),IF(OR(B10&gt;D10,B10&lt;E10),"OUT",""),"")</f>
        <v/>
      </c>
    </row>
    <row r="11">
      <c r="A11" t="n">
        <v>7</v>
      </c>
      <c r="B11">
        <f>IF(ISNUMBER(Capability!B16),Capability!B16,NA())</f>
        <v/>
      </c>
      <c r="C11">
        <f>Capability!$F$5</f>
        <v/>
      </c>
      <c r="D11">
        <f>Capability!$F$5+3*Capability!$F$8</f>
        <v/>
      </c>
      <c r="E11">
        <f>Capability!$F$5-3*Capability!$F$8</f>
        <v/>
      </c>
      <c r="F11">
        <f>IF(ISNUMBER(Capability!C16),Capability!C16,NA())</f>
        <v/>
      </c>
      <c r="G11">
        <f>Capability!$F$7</f>
        <v/>
      </c>
      <c r="H11">
        <f>(1+3*0.8525/1.128379)*Capability!$F$7</f>
        <v/>
      </c>
      <c r="I11">
        <f>IF(ISNUMBER(B11),IF(OR(B11&gt;D11,B11&lt;E11),"OUT",""),"")</f>
        <v/>
      </c>
    </row>
    <row r="12">
      <c r="A12" t="n">
        <v>8</v>
      </c>
      <c r="B12">
        <f>IF(ISNUMBER(Capability!B17),Capability!B17,NA())</f>
        <v/>
      </c>
      <c r="C12">
        <f>Capability!$F$5</f>
        <v/>
      </c>
      <c r="D12">
        <f>Capability!$F$5+3*Capability!$F$8</f>
        <v/>
      </c>
      <c r="E12">
        <f>Capability!$F$5-3*Capability!$F$8</f>
        <v/>
      </c>
      <c r="F12">
        <f>IF(ISNUMBER(Capability!C17),Capability!C17,NA())</f>
        <v/>
      </c>
      <c r="G12">
        <f>Capability!$F$7</f>
        <v/>
      </c>
      <c r="H12">
        <f>(1+3*0.8525/1.128379)*Capability!$F$7</f>
        <v/>
      </c>
      <c r="I12">
        <f>IF(ISNUMBER(B12),IF(OR(B12&gt;D12,B12&lt;E12),"OUT",""),"")</f>
        <v/>
      </c>
    </row>
    <row r="13">
      <c r="A13" t="n">
        <v>9</v>
      </c>
      <c r="B13">
        <f>IF(ISNUMBER(Capability!B18),Capability!B18,NA())</f>
        <v/>
      </c>
      <c r="C13">
        <f>Capability!$F$5</f>
        <v/>
      </c>
      <c r="D13">
        <f>Capability!$F$5+3*Capability!$F$8</f>
        <v/>
      </c>
      <c r="E13">
        <f>Capability!$F$5-3*Capability!$F$8</f>
        <v/>
      </c>
      <c r="F13">
        <f>IF(ISNUMBER(Capability!C18),Capability!C18,NA())</f>
        <v/>
      </c>
      <c r="G13">
        <f>Capability!$F$7</f>
        <v/>
      </c>
      <c r="H13">
        <f>(1+3*0.8525/1.128379)*Capability!$F$7</f>
        <v/>
      </c>
      <c r="I13">
        <f>IF(ISNUMBER(B13),IF(OR(B13&gt;D13,B13&lt;E13),"OUT",""),"")</f>
        <v/>
      </c>
    </row>
    <row r="14">
      <c r="A14" t="n">
        <v>10</v>
      </c>
      <c r="B14">
        <f>IF(ISNUMBER(Capability!B19),Capability!B19,NA())</f>
        <v/>
      </c>
      <c r="C14">
        <f>Capability!$F$5</f>
        <v/>
      </c>
      <c r="D14">
        <f>Capability!$F$5+3*Capability!$F$8</f>
        <v/>
      </c>
      <c r="E14">
        <f>Capability!$F$5-3*Capability!$F$8</f>
        <v/>
      </c>
      <c r="F14">
        <f>IF(ISNUMBER(Capability!C19),Capability!C19,NA())</f>
        <v/>
      </c>
      <c r="G14">
        <f>Capability!$F$7</f>
        <v/>
      </c>
      <c r="H14">
        <f>(1+3*0.8525/1.128379)*Capability!$F$7</f>
        <v/>
      </c>
      <c r="I14">
        <f>IF(ISNUMBER(B14),IF(OR(B14&gt;D14,B14&lt;E14),"OUT",""),"")</f>
        <v/>
      </c>
    </row>
    <row r="15">
      <c r="A15" t="n">
        <v>11</v>
      </c>
      <c r="B15">
        <f>IF(ISNUMBER(Capability!B20),Capability!B20,NA())</f>
        <v/>
      </c>
      <c r="C15">
        <f>Capability!$F$5</f>
        <v/>
      </c>
      <c r="D15">
        <f>Capability!$F$5+3*Capability!$F$8</f>
        <v/>
      </c>
      <c r="E15">
        <f>Capability!$F$5-3*Capability!$F$8</f>
        <v/>
      </c>
      <c r="F15">
        <f>IF(ISNUMBER(Capability!C20),Capability!C20,NA())</f>
        <v/>
      </c>
      <c r="G15">
        <f>Capability!$F$7</f>
        <v/>
      </c>
      <c r="H15">
        <f>(1+3*0.8525/1.128379)*Capability!$F$7</f>
        <v/>
      </c>
      <c r="I15">
        <f>IF(ISNUMBER(B15),IF(OR(B15&gt;D15,B15&lt;E15),"OUT",""),"")</f>
        <v/>
      </c>
    </row>
    <row r="16">
      <c r="A16" t="n">
        <v>12</v>
      </c>
      <c r="B16">
        <f>IF(ISNUMBER(Capability!B21),Capability!B21,NA())</f>
        <v/>
      </c>
      <c r="C16">
        <f>Capability!$F$5</f>
        <v/>
      </c>
      <c r="D16">
        <f>Capability!$F$5+3*Capability!$F$8</f>
        <v/>
      </c>
      <c r="E16">
        <f>Capability!$F$5-3*Capability!$F$8</f>
        <v/>
      </c>
      <c r="F16">
        <f>IF(ISNUMBER(Capability!C21),Capability!C21,NA())</f>
        <v/>
      </c>
      <c r="G16">
        <f>Capability!$F$7</f>
        <v/>
      </c>
      <c r="H16">
        <f>(1+3*0.8525/1.128379)*Capability!$F$7</f>
        <v/>
      </c>
      <c r="I16">
        <f>IF(ISNUMBER(B16),IF(OR(B16&gt;D16,B16&lt;E16),"OUT",""),"")</f>
        <v/>
      </c>
    </row>
    <row r="17">
      <c r="A17" t="n">
        <v>13</v>
      </c>
      <c r="B17">
        <f>IF(ISNUMBER(Capability!B22),Capability!B22,NA())</f>
        <v/>
      </c>
      <c r="C17">
        <f>Capability!$F$5</f>
        <v/>
      </c>
      <c r="D17">
        <f>Capability!$F$5+3*Capability!$F$8</f>
        <v/>
      </c>
      <c r="E17">
        <f>Capability!$F$5-3*Capability!$F$8</f>
        <v/>
      </c>
      <c r="F17">
        <f>IF(ISNUMBER(Capability!C22),Capability!C22,NA())</f>
        <v/>
      </c>
      <c r="G17">
        <f>Capability!$F$7</f>
        <v/>
      </c>
      <c r="H17">
        <f>(1+3*0.8525/1.128379)*Capability!$F$7</f>
        <v/>
      </c>
      <c r="I17">
        <f>IF(ISNUMBER(B17),IF(OR(B17&gt;D17,B17&lt;E17),"OUT",""),"")</f>
        <v/>
      </c>
    </row>
    <row r="18">
      <c r="A18" t="n">
        <v>14</v>
      </c>
      <c r="B18">
        <f>IF(ISNUMBER(Capability!B23),Capability!B23,NA())</f>
        <v/>
      </c>
      <c r="C18">
        <f>Capability!$F$5</f>
        <v/>
      </c>
      <c r="D18">
        <f>Capability!$F$5+3*Capability!$F$8</f>
        <v/>
      </c>
      <c r="E18">
        <f>Capability!$F$5-3*Capability!$F$8</f>
        <v/>
      </c>
      <c r="F18">
        <f>IF(ISNUMBER(Capability!C23),Capability!C23,NA())</f>
        <v/>
      </c>
      <c r="G18">
        <f>Capability!$F$7</f>
        <v/>
      </c>
      <c r="H18">
        <f>(1+3*0.8525/1.128379)*Capability!$F$7</f>
        <v/>
      </c>
      <c r="I18">
        <f>IF(ISNUMBER(B18),IF(OR(B18&gt;D18,B18&lt;E18),"OUT",""),"")</f>
        <v/>
      </c>
    </row>
    <row r="19">
      <c r="A19" t="n">
        <v>15</v>
      </c>
      <c r="B19">
        <f>IF(ISNUMBER(Capability!B24),Capability!B24,NA())</f>
        <v/>
      </c>
      <c r="C19">
        <f>Capability!$F$5</f>
        <v/>
      </c>
      <c r="D19">
        <f>Capability!$F$5+3*Capability!$F$8</f>
        <v/>
      </c>
      <c r="E19">
        <f>Capability!$F$5-3*Capability!$F$8</f>
        <v/>
      </c>
      <c r="F19">
        <f>IF(ISNUMBER(Capability!C24),Capability!C24,NA())</f>
        <v/>
      </c>
      <c r="G19">
        <f>Capability!$F$7</f>
        <v/>
      </c>
      <c r="H19">
        <f>(1+3*0.8525/1.128379)*Capability!$F$7</f>
        <v/>
      </c>
      <c r="I19">
        <f>IF(ISNUMBER(B19),IF(OR(B19&gt;D19,B19&lt;E19),"OUT",""),"")</f>
        <v/>
      </c>
    </row>
    <row r="20">
      <c r="A20" t="n">
        <v>16</v>
      </c>
      <c r="B20">
        <f>IF(ISNUMBER(Capability!B25),Capability!B25,NA())</f>
        <v/>
      </c>
      <c r="C20">
        <f>Capability!$F$5</f>
        <v/>
      </c>
      <c r="D20">
        <f>Capability!$F$5+3*Capability!$F$8</f>
        <v/>
      </c>
      <c r="E20">
        <f>Capability!$F$5-3*Capability!$F$8</f>
        <v/>
      </c>
      <c r="F20">
        <f>IF(ISNUMBER(Capability!C25),Capability!C25,NA())</f>
        <v/>
      </c>
      <c r="G20">
        <f>Capability!$F$7</f>
        <v/>
      </c>
      <c r="H20">
        <f>(1+3*0.8525/1.128379)*Capability!$F$7</f>
        <v/>
      </c>
      <c r="I20">
        <f>IF(ISNUMBER(B20),IF(OR(B20&gt;D20,B20&lt;E20),"OUT",""),"")</f>
        <v/>
      </c>
    </row>
    <row r="21">
      <c r="A21" t="n">
        <v>17</v>
      </c>
      <c r="B21">
        <f>IF(ISNUMBER(Capability!B26),Capability!B26,NA())</f>
        <v/>
      </c>
      <c r="C21">
        <f>Capability!$F$5</f>
        <v/>
      </c>
      <c r="D21">
        <f>Capability!$F$5+3*Capability!$F$8</f>
        <v/>
      </c>
      <c r="E21">
        <f>Capability!$F$5-3*Capability!$F$8</f>
        <v/>
      </c>
      <c r="F21">
        <f>IF(ISNUMBER(Capability!C26),Capability!C26,NA())</f>
        <v/>
      </c>
      <c r="G21">
        <f>Capability!$F$7</f>
        <v/>
      </c>
      <c r="H21">
        <f>(1+3*0.8525/1.128379)*Capability!$F$7</f>
        <v/>
      </c>
      <c r="I21">
        <f>IF(ISNUMBER(B21),IF(OR(B21&gt;D21,B21&lt;E21),"OUT",""),"")</f>
        <v/>
      </c>
    </row>
    <row r="22">
      <c r="A22" t="n">
        <v>18</v>
      </c>
      <c r="B22">
        <f>IF(ISNUMBER(Capability!B27),Capability!B27,NA())</f>
        <v/>
      </c>
      <c r="C22">
        <f>Capability!$F$5</f>
        <v/>
      </c>
      <c r="D22">
        <f>Capability!$F$5+3*Capability!$F$8</f>
        <v/>
      </c>
      <c r="E22">
        <f>Capability!$F$5-3*Capability!$F$8</f>
        <v/>
      </c>
      <c r="F22">
        <f>IF(ISNUMBER(Capability!C27),Capability!C27,NA())</f>
        <v/>
      </c>
      <c r="G22">
        <f>Capability!$F$7</f>
        <v/>
      </c>
      <c r="H22">
        <f>(1+3*0.8525/1.128379)*Capability!$F$7</f>
        <v/>
      </c>
      <c r="I22">
        <f>IF(ISNUMBER(B22),IF(OR(B22&gt;D22,B22&lt;E22),"OUT",""),"")</f>
        <v/>
      </c>
    </row>
    <row r="23">
      <c r="A23" t="n">
        <v>19</v>
      </c>
      <c r="B23">
        <f>IF(ISNUMBER(Capability!B28),Capability!B28,NA())</f>
        <v/>
      </c>
      <c r="C23">
        <f>Capability!$F$5</f>
        <v/>
      </c>
      <c r="D23">
        <f>Capability!$F$5+3*Capability!$F$8</f>
        <v/>
      </c>
      <c r="E23">
        <f>Capability!$F$5-3*Capability!$F$8</f>
        <v/>
      </c>
      <c r="F23">
        <f>IF(ISNUMBER(Capability!C28),Capability!C28,NA())</f>
        <v/>
      </c>
      <c r="G23">
        <f>Capability!$F$7</f>
        <v/>
      </c>
      <c r="H23">
        <f>(1+3*0.8525/1.128379)*Capability!$F$7</f>
        <v/>
      </c>
      <c r="I23">
        <f>IF(ISNUMBER(B23),IF(OR(B23&gt;D23,B23&lt;E23),"OUT",""),"")</f>
        <v/>
      </c>
    </row>
    <row r="24">
      <c r="A24" t="n">
        <v>20</v>
      </c>
      <c r="B24">
        <f>IF(ISNUMBER(Capability!B29),Capability!B29,NA())</f>
        <v/>
      </c>
      <c r="C24">
        <f>Capability!$F$5</f>
        <v/>
      </c>
      <c r="D24">
        <f>Capability!$F$5+3*Capability!$F$8</f>
        <v/>
      </c>
      <c r="E24">
        <f>Capability!$F$5-3*Capability!$F$8</f>
        <v/>
      </c>
      <c r="F24">
        <f>IF(ISNUMBER(Capability!C29),Capability!C29,NA())</f>
        <v/>
      </c>
      <c r="G24">
        <f>Capability!$F$7</f>
        <v/>
      </c>
      <c r="H24">
        <f>(1+3*0.8525/1.128379)*Capability!$F$7</f>
        <v/>
      </c>
      <c r="I24">
        <f>IF(ISNUMBER(B24),IF(OR(B24&gt;D24,B24&lt;E24),"OUT",""),"")</f>
        <v/>
      </c>
    </row>
    <row r="25">
      <c r="A25" t="n">
        <v>21</v>
      </c>
      <c r="B25">
        <f>IF(ISNUMBER(Capability!B30),Capability!B30,NA())</f>
        <v/>
      </c>
      <c r="C25">
        <f>Capability!$F$5</f>
        <v/>
      </c>
      <c r="D25">
        <f>Capability!$F$5+3*Capability!$F$8</f>
        <v/>
      </c>
      <c r="E25">
        <f>Capability!$F$5-3*Capability!$F$8</f>
        <v/>
      </c>
      <c r="F25">
        <f>IF(ISNUMBER(Capability!C30),Capability!C30,NA())</f>
        <v/>
      </c>
      <c r="G25">
        <f>Capability!$F$7</f>
        <v/>
      </c>
      <c r="H25">
        <f>(1+3*0.8525/1.128379)*Capability!$F$7</f>
        <v/>
      </c>
      <c r="I25">
        <f>IF(ISNUMBER(B25),IF(OR(B25&gt;D25,B25&lt;E25),"OUT",""),"")</f>
        <v/>
      </c>
    </row>
    <row r="26">
      <c r="A26" t="n">
        <v>22</v>
      </c>
      <c r="B26">
        <f>IF(ISNUMBER(Capability!B31),Capability!B31,NA())</f>
        <v/>
      </c>
      <c r="C26">
        <f>Capability!$F$5</f>
        <v/>
      </c>
      <c r="D26">
        <f>Capability!$F$5+3*Capability!$F$8</f>
        <v/>
      </c>
      <c r="E26">
        <f>Capability!$F$5-3*Capability!$F$8</f>
        <v/>
      </c>
      <c r="F26">
        <f>IF(ISNUMBER(Capability!C31),Capability!C31,NA())</f>
        <v/>
      </c>
      <c r="G26">
        <f>Capability!$F$7</f>
        <v/>
      </c>
      <c r="H26">
        <f>(1+3*0.8525/1.128379)*Capability!$F$7</f>
        <v/>
      </c>
      <c r="I26">
        <f>IF(ISNUMBER(B26),IF(OR(B26&gt;D26,B26&lt;E26),"OUT",""),"")</f>
        <v/>
      </c>
    </row>
    <row r="27">
      <c r="A27" t="n">
        <v>23</v>
      </c>
      <c r="B27">
        <f>IF(ISNUMBER(Capability!B32),Capability!B32,NA())</f>
        <v/>
      </c>
      <c r="C27">
        <f>Capability!$F$5</f>
        <v/>
      </c>
      <c r="D27">
        <f>Capability!$F$5+3*Capability!$F$8</f>
        <v/>
      </c>
      <c r="E27">
        <f>Capability!$F$5-3*Capability!$F$8</f>
        <v/>
      </c>
      <c r="F27">
        <f>IF(ISNUMBER(Capability!C32),Capability!C32,NA())</f>
        <v/>
      </c>
      <c r="G27">
        <f>Capability!$F$7</f>
        <v/>
      </c>
      <c r="H27">
        <f>(1+3*0.8525/1.128379)*Capability!$F$7</f>
        <v/>
      </c>
      <c r="I27">
        <f>IF(ISNUMBER(B27),IF(OR(B27&gt;D27,B27&lt;E27),"OUT",""),"")</f>
        <v/>
      </c>
    </row>
    <row r="28">
      <c r="A28" t="n">
        <v>24</v>
      </c>
      <c r="B28">
        <f>IF(ISNUMBER(Capability!B33),Capability!B33,NA())</f>
        <v/>
      </c>
      <c r="C28">
        <f>Capability!$F$5</f>
        <v/>
      </c>
      <c r="D28">
        <f>Capability!$F$5+3*Capability!$F$8</f>
        <v/>
      </c>
      <c r="E28">
        <f>Capability!$F$5-3*Capability!$F$8</f>
        <v/>
      </c>
      <c r="F28">
        <f>IF(ISNUMBER(Capability!C33),Capability!C33,NA())</f>
        <v/>
      </c>
      <c r="G28">
        <f>Capability!$F$7</f>
        <v/>
      </c>
      <c r="H28">
        <f>(1+3*0.8525/1.128379)*Capability!$F$7</f>
        <v/>
      </c>
      <c r="I28">
        <f>IF(ISNUMBER(B28),IF(OR(B28&gt;D28,B28&lt;E28),"OUT",""),"")</f>
        <v/>
      </c>
    </row>
    <row r="29">
      <c r="A29" t="n">
        <v>25</v>
      </c>
      <c r="B29">
        <f>IF(ISNUMBER(Capability!B34),Capability!B34,NA())</f>
        <v/>
      </c>
      <c r="C29">
        <f>Capability!$F$5</f>
        <v/>
      </c>
      <c r="D29">
        <f>Capability!$F$5+3*Capability!$F$8</f>
        <v/>
      </c>
      <c r="E29">
        <f>Capability!$F$5-3*Capability!$F$8</f>
        <v/>
      </c>
      <c r="F29">
        <f>IF(ISNUMBER(Capability!C34),Capability!C34,NA())</f>
        <v/>
      </c>
      <c r="G29">
        <f>Capability!$F$7</f>
        <v/>
      </c>
      <c r="H29">
        <f>(1+3*0.8525/1.128379)*Capability!$F$7</f>
        <v/>
      </c>
      <c r="I29">
        <f>IF(ISNUMBER(B29),IF(OR(B29&gt;D29,B29&lt;E29),"OUT",""),"")</f>
        <v/>
      </c>
    </row>
    <row r="30">
      <c r="A30" t="n">
        <v>26</v>
      </c>
      <c r="B30">
        <f>IF(ISNUMBER(Capability!B35),Capability!B35,NA())</f>
        <v/>
      </c>
      <c r="C30">
        <f>Capability!$F$5</f>
        <v/>
      </c>
      <c r="D30">
        <f>Capability!$F$5+3*Capability!$F$8</f>
        <v/>
      </c>
      <c r="E30">
        <f>Capability!$F$5-3*Capability!$F$8</f>
        <v/>
      </c>
      <c r="F30">
        <f>IF(ISNUMBER(Capability!C35),Capability!C35,NA())</f>
        <v/>
      </c>
      <c r="G30">
        <f>Capability!$F$7</f>
        <v/>
      </c>
      <c r="H30">
        <f>(1+3*0.8525/1.128379)*Capability!$F$7</f>
        <v/>
      </c>
      <c r="I30">
        <f>IF(ISNUMBER(B30),IF(OR(B30&gt;D30,B30&lt;E30),"OUT",""),"")</f>
        <v/>
      </c>
    </row>
    <row r="31">
      <c r="A31" t="n">
        <v>27</v>
      </c>
      <c r="B31">
        <f>IF(ISNUMBER(Capability!B36),Capability!B36,NA())</f>
        <v/>
      </c>
      <c r="C31">
        <f>Capability!$F$5</f>
        <v/>
      </c>
      <c r="D31">
        <f>Capability!$F$5+3*Capability!$F$8</f>
        <v/>
      </c>
      <c r="E31">
        <f>Capability!$F$5-3*Capability!$F$8</f>
        <v/>
      </c>
      <c r="F31">
        <f>IF(ISNUMBER(Capability!C36),Capability!C36,NA())</f>
        <v/>
      </c>
      <c r="G31">
        <f>Capability!$F$7</f>
        <v/>
      </c>
      <c r="H31">
        <f>(1+3*0.8525/1.128379)*Capability!$F$7</f>
        <v/>
      </c>
      <c r="I31">
        <f>IF(ISNUMBER(B31),IF(OR(B31&gt;D31,B31&lt;E31),"OUT",""),"")</f>
        <v/>
      </c>
    </row>
    <row r="32">
      <c r="A32" t="n">
        <v>28</v>
      </c>
      <c r="B32">
        <f>IF(ISNUMBER(Capability!B37),Capability!B37,NA())</f>
        <v/>
      </c>
      <c r="C32">
        <f>Capability!$F$5</f>
        <v/>
      </c>
      <c r="D32">
        <f>Capability!$F$5+3*Capability!$F$8</f>
        <v/>
      </c>
      <c r="E32">
        <f>Capability!$F$5-3*Capability!$F$8</f>
        <v/>
      </c>
      <c r="F32">
        <f>IF(ISNUMBER(Capability!C37),Capability!C37,NA())</f>
        <v/>
      </c>
      <c r="G32">
        <f>Capability!$F$7</f>
        <v/>
      </c>
      <c r="H32">
        <f>(1+3*0.8525/1.128379)*Capability!$F$7</f>
        <v/>
      </c>
      <c r="I32">
        <f>IF(ISNUMBER(B32),IF(OR(B32&gt;D32,B32&lt;E32),"OUT",""),"")</f>
        <v/>
      </c>
    </row>
    <row r="33">
      <c r="A33" t="n">
        <v>29</v>
      </c>
      <c r="B33">
        <f>IF(ISNUMBER(Capability!B38),Capability!B38,NA())</f>
        <v/>
      </c>
      <c r="C33">
        <f>Capability!$F$5</f>
        <v/>
      </c>
      <c r="D33">
        <f>Capability!$F$5+3*Capability!$F$8</f>
        <v/>
      </c>
      <c r="E33">
        <f>Capability!$F$5-3*Capability!$F$8</f>
        <v/>
      </c>
      <c r="F33">
        <f>IF(ISNUMBER(Capability!C38),Capability!C38,NA())</f>
        <v/>
      </c>
      <c r="G33">
        <f>Capability!$F$7</f>
        <v/>
      </c>
      <c r="H33">
        <f>(1+3*0.8525/1.128379)*Capability!$F$7</f>
        <v/>
      </c>
      <c r="I33">
        <f>IF(ISNUMBER(B33),IF(OR(B33&gt;D33,B33&lt;E33),"OUT",""),"")</f>
        <v/>
      </c>
    </row>
    <row r="34">
      <c r="A34" t="n">
        <v>30</v>
      </c>
      <c r="B34">
        <f>IF(ISNUMBER(Capability!B39),Capability!B39,NA())</f>
        <v/>
      </c>
      <c r="C34">
        <f>Capability!$F$5</f>
        <v/>
      </c>
      <c r="D34">
        <f>Capability!$F$5+3*Capability!$F$8</f>
        <v/>
      </c>
      <c r="E34">
        <f>Capability!$F$5-3*Capability!$F$8</f>
        <v/>
      </c>
      <c r="F34">
        <f>IF(ISNUMBER(Capability!C39),Capability!C39,NA())</f>
        <v/>
      </c>
      <c r="G34">
        <f>Capability!$F$7</f>
        <v/>
      </c>
      <c r="H34">
        <f>(1+3*0.8525/1.128379)*Capability!$F$7</f>
        <v/>
      </c>
      <c r="I34">
        <f>IF(ISNUMBER(B34),IF(OR(B34&gt;D34,B34&lt;E34),"OUT",""),"")</f>
        <v/>
      </c>
    </row>
    <row r="35">
      <c r="A35" t="n">
        <v>31</v>
      </c>
      <c r="B35">
        <f>IF(ISNUMBER(Capability!B40),Capability!B40,NA())</f>
        <v/>
      </c>
      <c r="C35">
        <f>Capability!$F$5</f>
        <v/>
      </c>
      <c r="D35">
        <f>Capability!$F$5+3*Capability!$F$8</f>
        <v/>
      </c>
      <c r="E35">
        <f>Capability!$F$5-3*Capability!$F$8</f>
        <v/>
      </c>
      <c r="F35">
        <f>IF(ISNUMBER(Capability!C40),Capability!C40,NA())</f>
        <v/>
      </c>
      <c r="G35">
        <f>Capability!$F$7</f>
        <v/>
      </c>
      <c r="H35">
        <f>(1+3*0.8525/1.128379)*Capability!$F$7</f>
        <v/>
      </c>
      <c r="I35">
        <f>IF(ISNUMBER(B35),IF(OR(B35&gt;D35,B35&lt;E35),"OUT",""),"")</f>
        <v/>
      </c>
    </row>
    <row r="36">
      <c r="A36" t="n">
        <v>32</v>
      </c>
      <c r="B36">
        <f>IF(ISNUMBER(Capability!B41),Capability!B41,NA())</f>
        <v/>
      </c>
      <c r="C36">
        <f>Capability!$F$5</f>
        <v/>
      </c>
      <c r="D36">
        <f>Capability!$F$5+3*Capability!$F$8</f>
        <v/>
      </c>
      <c r="E36">
        <f>Capability!$F$5-3*Capability!$F$8</f>
        <v/>
      </c>
      <c r="F36">
        <f>IF(ISNUMBER(Capability!C41),Capability!C41,NA())</f>
        <v/>
      </c>
      <c r="G36">
        <f>Capability!$F$7</f>
        <v/>
      </c>
      <c r="H36">
        <f>(1+3*0.8525/1.128379)*Capability!$F$7</f>
        <v/>
      </c>
      <c r="I36">
        <f>IF(ISNUMBER(B36),IF(OR(B36&gt;D36,B36&lt;E36),"OUT",""),"")</f>
        <v/>
      </c>
    </row>
    <row r="37">
      <c r="A37" t="n">
        <v>33</v>
      </c>
      <c r="B37">
        <f>IF(ISNUMBER(Capability!B42),Capability!B42,NA())</f>
        <v/>
      </c>
      <c r="C37">
        <f>Capability!$F$5</f>
        <v/>
      </c>
      <c r="D37">
        <f>Capability!$F$5+3*Capability!$F$8</f>
        <v/>
      </c>
      <c r="E37">
        <f>Capability!$F$5-3*Capability!$F$8</f>
        <v/>
      </c>
      <c r="F37">
        <f>IF(ISNUMBER(Capability!C42),Capability!C42,NA())</f>
        <v/>
      </c>
      <c r="G37">
        <f>Capability!$F$7</f>
        <v/>
      </c>
      <c r="H37">
        <f>(1+3*0.8525/1.128379)*Capability!$F$7</f>
        <v/>
      </c>
      <c r="I37">
        <f>IF(ISNUMBER(B37),IF(OR(B37&gt;D37,B37&lt;E37),"OUT",""),"")</f>
        <v/>
      </c>
    </row>
    <row r="38">
      <c r="A38" t="n">
        <v>34</v>
      </c>
      <c r="B38">
        <f>IF(ISNUMBER(Capability!B43),Capability!B43,NA())</f>
        <v/>
      </c>
      <c r="C38">
        <f>Capability!$F$5</f>
        <v/>
      </c>
      <c r="D38">
        <f>Capability!$F$5+3*Capability!$F$8</f>
        <v/>
      </c>
      <c r="E38">
        <f>Capability!$F$5-3*Capability!$F$8</f>
        <v/>
      </c>
      <c r="F38">
        <f>IF(ISNUMBER(Capability!C43),Capability!C43,NA())</f>
        <v/>
      </c>
      <c r="G38">
        <f>Capability!$F$7</f>
        <v/>
      </c>
      <c r="H38">
        <f>(1+3*0.8525/1.128379)*Capability!$F$7</f>
        <v/>
      </c>
      <c r="I38">
        <f>IF(ISNUMBER(B38),IF(OR(B38&gt;D38,B38&lt;E38),"OUT",""),"")</f>
        <v/>
      </c>
    </row>
    <row r="39">
      <c r="A39" t="n">
        <v>35</v>
      </c>
      <c r="B39">
        <f>IF(ISNUMBER(Capability!B44),Capability!B44,NA())</f>
        <v/>
      </c>
      <c r="C39">
        <f>Capability!$F$5</f>
        <v/>
      </c>
      <c r="D39">
        <f>Capability!$F$5+3*Capability!$F$8</f>
        <v/>
      </c>
      <c r="E39">
        <f>Capability!$F$5-3*Capability!$F$8</f>
        <v/>
      </c>
      <c r="F39">
        <f>IF(ISNUMBER(Capability!C44),Capability!C44,NA())</f>
        <v/>
      </c>
      <c r="G39">
        <f>Capability!$F$7</f>
        <v/>
      </c>
      <c r="H39">
        <f>(1+3*0.8525/1.128379)*Capability!$F$7</f>
        <v/>
      </c>
      <c r="I39">
        <f>IF(ISNUMBER(B39),IF(OR(B39&gt;D39,B39&lt;E39),"OUT",""),"")</f>
        <v/>
      </c>
    </row>
    <row r="40">
      <c r="A40" t="n">
        <v>36</v>
      </c>
      <c r="B40">
        <f>IF(ISNUMBER(Capability!B45),Capability!B45,NA())</f>
        <v/>
      </c>
      <c r="C40">
        <f>Capability!$F$5</f>
        <v/>
      </c>
      <c r="D40">
        <f>Capability!$F$5+3*Capability!$F$8</f>
        <v/>
      </c>
      <c r="E40">
        <f>Capability!$F$5-3*Capability!$F$8</f>
        <v/>
      </c>
      <c r="F40">
        <f>IF(ISNUMBER(Capability!C45),Capability!C45,NA())</f>
        <v/>
      </c>
      <c r="G40">
        <f>Capability!$F$7</f>
        <v/>
      </c>
      <c r="H40">
        <f>(1+3*0.8525/1.128379)*Capability!$F$7</f>
        <v/>
      </c>
      <c r="I40">
        <f>IF(ISNUMBER(B40),IF(OR(B40&gt;D40,B40&lt;E40),"OUT",""),"")</f>
        <v/>
      </c>
    </row>
    <row r="41">
      <c r="A41" t="n">
        <v>37</v>
      </c>
      <c r="B41">
        <f>IF(ISNUMBER(Capability!B46),Capability!B46,NA())</f>
        <v/>
      </c>
      <c r="C41">
        <f>Capability!$F$5</f>
        <v/>
      </c>
      <c r="D41">
        <f>Capability!$F$5+3*Capability!$F$8</f>
        <v/>
      </c>
      <c r="E41">
        <f>Capability!$F$5-3*Capability!$F$8</f>
        <v/>
      </c>
      <c r="F41">
        <f>IF(ISNUMBER(Capability!C46),Capability!C46,NA())</f>
        <v/>
      </c>
      <c r="G41">
        <f>Capability!$F$7</f>
        <v/>
      </c>
      <c r="H41">
        <f>(1+3*0.8525/1.128379)*Capability!$F$7</f>
        <v/>
      </c>
      <c r="I41">
        <f>IF(ISNUMBER(B41),IF(OR(B41&gt;D41,B41&lt;E41),"OUT",""),"")</f>
        <v/>
      </c>
    </row>
    <row r="42">
      <c r="A42" t="n">
        <v>38</v>
      </c>
      <c r="B42">
        <f>IF(ISNUMBER(Capability!B47),Capability!B47,NA())</f>
        <v/>
      </c>
      <c r="C42">
        <f>Capability!$F$5</f>
        <v/>
      </c>
      <c r="D42">
        <f>Capability!$F$5+3*Capability!$F$8</f>
        <v/>
      </c>
      <c r="E42">
        <f>Capability!$F$5-3*Capability!$F$8</f>
        <v/>
      </c>
      <c r="F42">
        <f>IF(ISNUMBER(Capability!C47),Capability!C47,NA())</f>
        <v/>
      </c>
      <c r="G42">
        <f>Capability!$F$7</f>
        <v/>
      </c>
      <c r="H42">
        <f>(1+3*0.8525/1.128379)*Capability!$F$7</f>
        <v/>
      </c>
      <c r="I42">
        <f>IF(ISNUMBER(B42),IF(OR(B42&gt;D42,B42&lt;E42),"OUT",""),"")</f>
        <v/>
      </c>
    </row>
    <row r="43">
      <c r="A43" t="n">
        <v>39</v>
      </c>
      <c r="B43">
        <f>IF(ISNUMBER(Capability!B48),Capability!B48,NA())</f>
        <v/>
      </c>
      <c r="C43">
        <f>Capability!$F$5</f>
        <v/>
      </c>
      <c r="D43">
        <f>Capability!$F$5+3*Capability!$F$8</f>
        <v/>
      </c>
      <c r="E43">
        <f>Capability!$F$5-3*Capability!$F$8</f>
        <v/>
      </c>
      <c r="F43">
        <f>IF(ISNUMBER(Capability!C48),Capability!C48,NA())</f>
        <v/>
      </c>
      <c r="G43">
        <f>Capability!$F$7</f>
        <v/>
      </c>
      <c r="H43">
        <f>(1+3*0.8525/1.128379)*Capability!$F$7</f>
        <v/>
      </c>
      <c r="I43">
        <f>IF(ISNUMBER(B43),IF(OR(B43&gt;D43,B43&lt;E43),"OUT",""),"")</f>
        <v/>
      </c>
    </row>
    <row r="44">
      <c r="A44" t="n">
        <v>40</v>
      </c>
      <c r="B44">
        <f>IF(ISNUMBER(Capability!B49),Capability!B49,NA())</f>
        <v/>
      </c>
      <c r="C44">
        <f>Capability!$F$5</f>
        <v/>
      </c>
      <c r="D44">
        <f>Capability!$F$5+3*Capability!$F$8</f>
        <v/>
      </c>
      <c r="E44">
        <f>Capability!$F$5-3*Capability!$F$8</f>
        <v/>
      </c>
      <c r="F44">
        <f>IF(ISNUMBER(Capability!C49),Capability!C49,NA())</f>
        <v/>
      </c>
      <c r="G44">
        <f>Capability!$F$7</f>
        <v/>
      </c>
      <c r="H44">
        <f>(1+3*0.8525/1.128379)*Capability!$F$7</f>
        <v/>
      </c>
      <c r="I44">
        <f>IF(ISNUMBER(B44),IF(OR(B44&gt;D44,B44&lt;E44),"OUT",""),"")</f>
        <v/>
      </c>
    </row>
    <row r="45">
      <c r="A45" t="n">
        <v>41</v>
      </c>
      <c r="B45">
        <f>IF(ISNUMBER(Capability!B50),Capability!B50,NA())</f>
        <v/>
      </c>
      <c r="C45">
        <f>Capability!$F$5</f>
        <v/>
      </c>
      <c r="D45">
        <f>Capability!$F$5+3*Capability!$F$8</f>
        <v/>
      </c>
      <c r="E45">
        <f>Capability!$F$5-3*Capability!$F$8</f>
        <v/>
      </c>
      <c r="F45">
        <f>IF(ISNUMBER(Capability!C50),Capability!C50,NA())</f>
        <v/>
      </c>
      <c r="G45">
        <f>Capability!$F$7</f>
        <v/>
      </c>
      <c r="H45">
        <f>(1+3*0.8525/1.128379)*Capability!$F$7</f>
        <v/>
      </c>
      <c r="I45">
        <f>IF(ISNUMBER(B45),IF(OR(B45&gt;D45,B45&lt;E45),"OUT",""),"")</f>
        <v/>
      </c>
    </row>
    <row r="46">
      <c r="A46" t="n">
        <v>42</v>
      </c>
      <c r="B46">
        <f>IF(ISNUMBER(Capability!B51),Capability!B51,NA())</f>
        <v/>
      </c>
      <c r="C46">
        <f>Capability!$F$5</f>
        <v/>
      </c>
      <c r="D46">
        <f>Capability!$F$5+3*Capability!$F$8</f>
        <v/>
      </c>
      <c r="E46">
        <f>Capability!$F$5-3*Capability!$F$8</f>
        <v/>
      </c>
      <c r="F46">
        <f>IF(ISNUMBER(Capability!C51),Capability!C51,NA())</f>
        <v/>
      </c>
      <c r="G46">
        <f>Capability!$F$7</f>
        <v/>
      </c>
      <c r="H46">
        <f>(1+3*0.8525/1.128379)*Capability!$F$7</f>
        <v/>
      </c>
      <c r="I46">
        <f>IF(ISNUMBER(B46),IF(OR(B46&gt;D46,B46&lt;E46),"OUT",""),"")</f>
        <v/>
      </c>
    </row>
    <row r="47">
      <c r="A47" t="n">
        <v>43</v>
      </c>
      <c r="B47">
        <f>IF(ISNUMBER(Capability!B52),Capability!B52,NA())</f>
        <v/>
      </c>
      <c r="C47">
        <f>Capability!$F$5</f>
        <v/>
      </c>
      <c r="D47">
        <f>Capability!$F$5+3*Capability!$F$8</f>
        <v/>
      </c>
      <c r="E47">
        <f>Capability!$F$5-3*Capability!$F$8</f>
        <v/>
      </c>
      <c r="F47">
        <f>IF(ISNUMBER(Capability!C52),Capability!C52,NA())</f>
        <v/>
      </c>
      <c r="G47">
        <f>Capability!$F$7</f>
        <v/>
      </c>
      <c r="H47">
        <f>(1+3*0.8525/1.128379)*Capability!$F$7</f>
        <v/>
      </c>
      <c r="I47">
        <f>IF(ISNUMBER(B47),IF(OR(B47&gt;D47,B47&lt;E47),"OUT",""),"")</f>
        <v/>
      </c>
    </row>
    <row r="48">
      <c r="A48" t="n">
        <v>44</v>
      </c>
      <c r="B48">
        <f>IF(ISNUMBER(Capability!B53),Capability!B53,NA())</f>
        <v/>
      </c>
      <c r="C48">
        <f>Capability!$F$5</f>
        <v/>
      </c>
      <c r="D48">
        <f>Capability!$F$5+3*Capability!$F$8</f>
        <v/>
      </c>
      <c r="E48">
        <f>Capability!$F$5-3*Capability!$F$8</f>
        <v/>
      </c>
      <c r="F48">
        <f>IF(ISNUMBER(Capability!C53),Capability!C53,NA())</f>
        <v/>
      </c>
      <c r="G48">
        <f>Capability!$F$7</f>
        <v/>
      </c>
      <c r="H48">
        <f>(1+3*0.8525/1.128379)*Capability!$F$7</f>
        <v/>
      </c>
      <c r="I48">
        <f>IF(ISNUMBER(B48),IF(OR(B48&gt;D48,B48&lt;E48),"OUT",""),"")</f>
        <v/>
      </c>
    </row>
    <row r="49">
      <c r="A49" t="n">
        <v>45</v>
      </c>
      <c r="B49">
        <f>IF(ISNUMBER(Capability!B54),Capability!B54,NA())</f>
        <v/>
      </c>
      <c r="C49">
        <f>Capability!$F$5</f>
        <v/>
      </c>
      <c r="D49">
        <f>Capability!$F$5+3*Capability!$F$8</f>
        <v/>
      </c>
      <c r="E49">
        <f>Capability!$F$5-3*Capability!$F$8</f>
        <v/>
      </c>
      <c r="F49">
        <f>IF(ISNUMBER(Capability!C54),Capability!C54,NA())</f>
        <v/>
      </c>
      <c r="G49">
        <f>Capability!$F$7</f>
        <v/>
      </c>
      <c r="H49">
        <f>(1+3*0.8525/1.128379)*Capability!$F$7</f>
        <v/>
      </c>
      <c r="I49">
        <f>IF(ISNUMBER(B49),IF(OR(B49&gt;D49,B49&lt;E49),"OUT",""),"")</f>
        <v/>
      </c>
    </row>
    <row r="50">
      <c r="A50" t="n">
        <v>46</v>
      </c>
      <c r="B50">
        <f>IF(ISNUMBER(Capability!B55),Capability!B55,NA())</f>
        <v/>
      </c>
      <c r="C50">
        <f>Capability!$F$5</f>
        <v/>
      </c>
      <c r="D50">
        <f>Capability!$F$5+3*Capability!$F$8</f>
        <v/>
      </c>
      <c r="E50">
        <f>Capability!$F$5-3*Capability!$F$8</f>
        <v/>
      </c>
      <c r="F50">
        <f>IF(ISNUMBER(Capability!C55),Capability!C55,NA())</f>
        <v/>
      </c>
      <c r="G50">
        <f>Capability!$F$7</f>
        <v/>
      </c>
      <c r="H50">
        <f>(1+3*0.8525/1.128379)*Capability!$F$7</f>
        <v/>
      </c>
      <c r="I50">
        <f>IF(ISNUMBER(B50),IF(OR(B50&gt;D50,B50&lt;E50),"OUT",""),"")</f>
        <v/>
      </c>
    </row>
    <row r="51">
      <c r="A51" t="n">
        <v>47</v>
      </c>
      <c r="B51">
        <f>IF(ISNUMBER(Capability!B56),Capability!B56,NA())</f>
        <v/>
      </c>
      <c r="C51">
        <f>Capability!$F$5</f>
        <v/>
      </c>
      <c r="D51">
        <f>Capability!$F$5+3*Capability!$F$8</f>
        <v/>
      </c>
      <c r="E51">
        <f>Capability!$F$5-3*Capability!$F$8</f>
        <v/>
      </c>
      <c r="F51">
        <f>IF(ISNUMBER(Capability!C56),Capability!C56,NA())</f>
        <v/>
      </c>
      <c r="G51">
        <f>Capability!$F$7</f>
        <v/>
      </c>
      <c r="H51">
        <f>(1+3*0.8525/1.128379)*Capability!$F$7</f>
        <v/>
      </c>
      <c r="I51">
        <f>IF(ISNUMBER(B51),IF(OR(B51&gt;D51,B51&lt;E51),"OUT",""),"")</f>
        <v/>
      </c>
    </row>
    <row r="52">
      <c r="A52" t="n">
        <v>48</v>
      </c>
      <c r="B52">
        <f>IF(ISNUMBER(Capability!B57),Capability!B57,NA())</f>
        <v/>
      </c>
      <c r="C52">
        <f>Capability!$F$5</f>
        <v/>
      </c>
      <c r="D52">
        <f>Capability!$F$5+3*Capability!$F$8</f>
        <v/>
      </c>
      <c r="E52">
        <f>Capability!$F$5-3*Capability!$F$8</f>
        <v/>
      </c>
      <c r="F52">
        <f>IF(ISNUMBER(Capability!C57),Capability!C57,NA())</f>
        <v/>
      </c>
      <c r="G52">
        <f>Capability!$F$7</f>
        <v/>
      </c>
      <c r="H52">
        <f>(1+3*0.8525/1.128379)*Capability!$F$7</f>
        <v/>
      </c>
      <c r="I52">
        <f>IF(ISNUMBER(B52),IF(OR(B52&gt;D52,B52&lt;E52),"OUT",""),"")</f>
        <v/>
      </c>
    </row>
    <row r="53">
      <c r="A53" t="n">
        <v>49</v>
      </c>
      <c r="B53">
        <f>IF(ISNUMBER(Capability!B58),Capability!B58,NA())</f>
        <v/>
      </c>
      <c r="C53">
        <f>Capability!$F$5</f>
        <v/>
      </c>
      <c r="D53">
        <f>Capability!$F$5+3*Capability!$F$8</f>
        <v/>
      </c>
      <c r="E53">
        <f>Capability!$F$5-3*Capability!$F$8</f>
        <v/>
      </c>
      <c r="F53">
        <f>IF(ISNUMBER(Capability!C58),Capability!C58,NA())</f>
        <v/>
      </c>
      <c r="G53">
        <f>Capability!$F$7</f>
        <v/>
      </c>
      <c r="H53">
        <f>(1+3*0.8525/1.128379)*Capability!$F$7</f>
        <v/>
      </c>
      <c r="I53">
        <f>IF(ISNUMBER(B53),IF(OR(B53&gt;D53,B53&lt;E53),"OUT",""),"")</f>
        <v/>
      </c>
    </row>
    <row r="54">
      <c r="A54" t="n">
        <v>50</v>
      </c>
      <c r="B54">
        <f>IF(ISNUMBER(Capability!B59),Capability!B59,NA())</f>
        <v/>
      </c>
      <c r="C54">
        <f>Capability!$F$5</f>
        <v/>
      </c>
      <c r="D54">
        <f>Capability!$F$5+3*Capability!$F$8</f>
        <v/>
      </c>
      <c r="E54">
        <f>Capability!$F$5-3*Capability!$F$8</f>
        <v/>
      </c>
      <c r="F54">
        <f>IF(ISNUMBER(Capability!C59),Capability!C59,NA())</f>
        <v/>
      </c>
      <c r="G54">
        <f>Capability!$F$7</f>
        <v/>
      </c>
      <c r="H54">
        <f>(1+3*0.8525/1.128379)*Capability!$F$7</f>
        <v/>
      </c>
      <c r="I54">
        <f>IF(ISNUMBER(B54),IF(OR(B54&gt;D54,B54&lt;E54),"OUT",""),"")</f>
        <v/>
      </c>
    </row>
    <row r="55">
      <c r="A55" t="n">
        <v>51</v>
      </c>
      <c r="B55">
        <f>IF(ISNUMBER(Capability!B60),Capability!B60,NA())</f>
        <v/>
      </c>
      <c r="C55">
        <f>Capability!$F$5</f>
        <v/>
      </c>
      <c r="D55">
        <f>Capability!$F$5+3*Capability!$F$8</f>
        <v/>
      </c>
      <c r="E55">
        <f>Capability!$F$5-3*Capability!$F$8</f>
        <v/>
      </c>
      <c r="F55">
        <f>IF(ISNUMBER(Capability!C60),Capability!C60,NA())</f>
        <v/>
      </c>
      <c r="G55">
        <f>Capability!$F$7</f>
        <v/>
      </c>
      <c r="H55">
        <f>(1+3*0.8525/1.128379)*Capability!$F$7</f>
        <v/>
      </c>
      <c r="I55">
        <f>IF(ISNUMBER(B55),IF(OR(B55&gt;D55,B55&lt;E55),"OUT",""),"")</f>
        <v/>
      </c>
    </row>
    <row r="56">
      <c r="A56" t="n">
        <v>52</v>
      </c>
      <c r="B56">
        <f>IF(ISNUMBER(Capability!B61),Capability!B61,NA())</f>
        <v/>
      </c>
      <c r="C56">
        <f>Capability!$F$5</f>
        <v/>
      </c>
      <c r="D56">
        <f>Capability!$F$5+3*Capability!$F$8</f>
        <v/>
      </c>
      <c r="E56">
        <f>Capability!$F$5-3*Capability!$F$8</f>
        <v/>
      </c>
      <c r="F56">
        <f>IF(ISNUMBER(Capability!C61),Capability!C61,NA())</f>
        <v/>
      </c>
      <c r="G56">
        <f>Capability!$F$7</f>
        <v/>
      </c>
      <c r="H56">
        <f>(1+3*0.8525/1.128379)*Capability!$F$7</f>
        <v/>
      </c>
      <c r="I56">
        <f>IF(ISNUMBER(B56),IF(OR(B56&gt;D56,B56&lt;E56),"OUT",""),"")</f>
        <v/>
      </c>
    </row>
    <row r="57">
      <c r="A57" t="n">
        <v>53</v>
      </c>
      <c r="B57">
        <f>IF(ISNUMBER(Capability!B62),Capability!B62,NA())</f>
        <v/>
      </c>
      <c r="C57">
        <f>Capability!$F$5</f>
        <v/>
      </c>
      <c r="D57">
        <f>Capability!$F$5+3*Capability!$F$8</f>
        <v/>
      </c>
      <c r="E57">
        <f>Capability!$F$5-3*Capability!$F$8</f>
        <v/>
      </c>
      <c r="F57">
        <f>IF(ISNUMBER(Capability!C62),Capability!C62,NA())</f>
        <v/>
      </c>
      <c r="G57">
        <f>Capability!$F$7</f>
        <v/>
      </c>
      <c r="H57">
        <f>(1+3*0.8525/1.128379)*Capability!$F$7</f>
        <v/>
      </c>
      <c r="I57">
        <f>IF(ISNUMBER(B57),IF(OR(B57&gt;D57,B57&lt;E57),"OUT",""),"")</f>
        <v/>
      </c>
    </row>
    <row r="58">
      <c r="A58" t="n">
        <v>54</v>
      </c>
      <c r="B58">
        <f>IF(ISNUMBER(Capability!B63),Capability!B63,NA())</f>
        <v/>
      </c>
      <c r="C58">
        <f>Capability!$F$5</f>
        <v/>
      </c>
      <c r="D58">
        <f>Capability!$F$5+3*Capability!$F$8</f>
        <v/>
      </c>
      <c r="E58">
        <f>Capability!$F$5-3*Capability!$F$8</f>
        <v/>
      </c>
      <c r="F58">
        <f>IF(ISNUMBER(Capability!C63),Capability!C63,NA())</f>
        <v/>
      </c>
      <c r="G58">
        <f>Capability!$F$7</f>
        <v/>
      </c>
      <c r="H58">
        <f>(1+3*0.8525/1.128379)*Capability!$F$7</f>
        <v/>
      </c>
      <c r="I58">
        <f>IF(ISNUMBER(B58),IF(OR(B58&gt;D58,B58&lt;E58),"OUT",""),"")</f>
        <v/>
      </c>
    </row>
    <row r="59">
      <c r="A59" t="n">
        <v>55</v>
      </c>
      <c r="B59">
        <f>IF(ISNUMBER(Capability!B64),Capability!B64,NA())</f>
        <v/>
      </c>
      <c r="C59">
        <f>Capability!$F$5</f>
        <v/>
      </c>
      <c r="D59">
        <f>Capability!$F$5+3*Capability!$F$8</f>
        <v/>
      </c>
      <c r="E59">
        <f>Capability!$F$5-3*Capability!$F$8</f>
        <v/>
      </c>
      <c r="F59">
        <f>IF(ISNUMBER(Capability!C64),Capability!C64,NA())</f>
        <v/>
      </c>
      <c r="G59">
        <f>Capability!$F$7</f>
        <v/>
      </c>
      <c r="H59">
        <f>(1+3*0.8525/1.128379)*Capability!$F$7</f>
        <v/>
      </c>
      <c r="I59">
        <f>IF(ISNUMBER(B59),IF(OR(B59&gt;D59,B59&lt;E59),"OUT",""),"")</f>
        <v/>
      </c>
    </row>
    <row r="60">
      <c r="A60" t="n">
        <v>56</v>
      </c>
      <c r="B60">
        <f>IF(ISNUMBER(Capability!B65),Capability!B65,NA())</f>
        <v/>
      </c>
      <c r="C60">
        <f>Capability!$F$5</f>
        <v/>
      </c>
      <c r="D60">
        <f>Capability!$F$5+3*Capability!$F$8</f>
        <v/>
      </c>
      <c r="E60">
        <f>Capability!$F$5-3*Capability!$F$8</f>
        <v/>
      </c>
      <c r="F60">
        <f>IF(ISNUMBER(Capability!C65),Capability!C65,NA())</f>
        <v/>
      </c>
      <c r="G60">
        <f>Capability!$F$7</f>
        <v/>
      </c>
      <c r="H60">
        <f>(1+3*0.8525/1.128379)*Capability!$F$7</f>
        <v/>
      </c>
      <c r="I60">
        <f>IF(ISNUMBER(B60),IF(OR(B60&gt;D60,B60&lt;E60),"OUT",""),"")</f>
        <v/>
      </c>
    </row>
    <row r="61">
      <c r="A61" t="n">
        <v>57</v>
      </c>
      <c r="B61">
        <f>IF(ISNUMBER(Capability!B66),Capability!B66,NA())</f>
        <v/>
      </c>
      <c r="C61">
        <f>Capability!$F$5</f>
        <v/>
      </c>
      <c r="D61">
        <f>Capability!$F$5+3*Capability!$F$8</f>
        <v/>
      </c>
      <c r="E61">
        <f>Capability!$F$5-3*Capability!$F$8</f>
        <v/>
      </c>
      <c r="F61">
        <f>IF(ISNUMBER(Capability!C66),Capability!C66,NA())</f>
        <v/>
      </c>
      <c r="G61">
        <f>Capability!$F$7</f>
        <v/>
      </c>
      <c r="H61">
        <f>(1+3*0.8525/1.128379)*Capability!$F$7</f>
        <v/>
      </c>
      <c r="I61">
        <f>IF(ISNUMBER(B61),IF(OR(B61&gt;D61,B61&lt;E61),"OUT",""),"")</f>
        <v/>
      </c>
    </row>
    <row r="62">
      <c r="A62" t="n">
        <v>58</v>
      </c>
      <c r="B62">
        <f>IF(ISNUMBER(Capability!B67),Capability!B67,NA())</f>
        <v/>
      </c>
      <c r="C62">
        <f>Capability!$F$5</f>
        <v/>
      </c>
      <c r="D62">
        <f>Capability!$F$5+3*Capability!$F$8</f>
        <v/>
      </c>
      <c r="E62">
        <f>Capability!$F$5-3*Capability!$F$8</f>
        <v/>
      </c>
      <c r="F62">
        <f>IF(ISNUMBER(Capability!C67),Capability!C67,NA())</f>
        <v/>
      </c>
      <c r="G62">
        <f>Capability!$F$7</f>
        <v/>
      </c>
      <c r="H62">
        <f>(1+3*0.8525/1.128379)*Capability!$F$7</f>
        <v/>
      </c>
      <c r="I62">
        <f>IF(ISNUMBER(B62),IF(OR(B62&gt;D62,B62&lt;E62),"OUT",""),"")</f>
        <v/>
      </c>
    </row>
    <row r="63">
      <c r="A63" t="n">
        <v>59</v>
      </c>
      <c r="B63">
        <f>IF(ISNUMBER(Capability!B68),Capability!B68,NA())</f>
        <v/>
      </c>
      <c r="C63">
        <f>Capability!$F$5</f>
        <v/>
      </c>
      <c r="D63">
        <f>Capability!$F$5+3*Capability!$F$8</f>
        <v/>
      </c>
      <c r="E63">
        <f>Capability!$F$5-3*Capability!$F$8</f>
        <v/>
      </c>
      <c r="F63">
        <f>IF(ISNUMBER(Capability!C68),Capability!C68,NA())</f>
        <v/>
      </c>
      <c r="G63">
        <f>Capability!$F$7</f>
        <v/>
      </c>
      <c r="H63">
        <f>(1+3*0.8525/1.128379)*Capability!$F$7</f>
        <v/>
      </c>
      <c r="I63">
        <f>IF(ISNUMBER(B63),IF(OR(B63&gt;D63,B63&lt;E63),"OUT",""),"")</f>
        <v/>
      </c>
    </row>
    <row r="64">
      <c r="A64" t="n">
        <v>60</v>
      </c>
      <c r="B64">
        <f>IF(ISNUMBER(Capability!B69),Capability!B69,NA())</f>
        <v/>
      </c>
      <c r="C64">
        <f>Capability!$F$5</f>
        <v/>
      </c>
      <c r="D64">
        <f>Capability!$F$5+3*Capability!$F$8</f>
        <v/>
      </c>
      <c r="E64">
        <f>Capability!$F$5-3*Capability!$F$8</f>
        <v/>
      </c>
      <c r="F64">
        <f>IF(ISNUMBER(Capability!C69),Capability!C69,NA())</f>
        <v/>
      </c>
      <c r="G64">
        <f>Capability!$F$7</f>
        <v/>
      </c>
      <c r="H64">
        <f>(1+3*0.8525/1.128379)*Capability!$F$7</f>
        <v/>
      </c>
      <c r="I64">
        <f>IF(ISNUMBER(B64),IF(OR(B64&gt;D64,B64&lt;E64),"OUT",""),"")</f>
        <v/>
      </c>
    </row>
    <row r="65">
      <c r="A65" t="n">
        <v>61</v>
      </c>
      <c r="B65">
        <f>IF(ISNUMBER(Capability!B70),Capability!B70,NA())</f>
        <v/>
      </c>
      <c r="C65">
        <f>Capability!$F$5</f>
        <v/>
      </c>
      <c r="D65">
        <f>Capability!$F$5+3*Capability!$F$8</f>
        <v/>
      </c>
      <c r="E65">
        <f>Capability!$F$5-3*Capability!$F$8</f>
        <v/>
      </c>
      <c r="F65">
        <f>IF(ISNUMBER(Capability!C70),Capability!C70,NA())</f>
        <v/>
      </c>
      <c r="G65">
        <f>Capability!$F$7</f>
        <v/>
      </c>
      <c r="H65">
        <f>(1+3*0.8525/1.128379)*Capability!$F$7</f>
        <v/>
      </c>
      <c r="I65">
        <f>IF(ISNUMBER(B65),IF(OR(B65&gt;D65,B65&lt;E65),"OUT",""),"")</f>
        <v/>
      </c>
    </row>
    <row r="66">
      <c r="A66" t="n">
        <v>62</v>
      </c>
      <c r="B66">
        <f>IF(ISNUMBER(Capability!B71),Capability!B71,NA())</f>
        <v/>
      </c>
      <c r="C66">
        <f>Capability!$F$5</f>
        <v/>
      </c>
      <c r="D66">
        <f>Capability!$F$5+3*Capability!$F$8</f>
        <v/>
      </c>
      <c r="E66">
        <f>Capability!$F$5-3*Capability!$F$8</f>
        <v/>
      </c>
      <c r="F66">
        <f>IF(ISNUMBER(Capability!C71),Capability!C71,NA())</f>
        <v/>
      </c>
      <c r="G66">
        <f>Capability!$F$7</f>
        <v/>
      </c>
      <c r="H66">
        <f>(1+3*0.8525/1.128379)*Capability!$F$7</f>
        <v/>
      </c>
      <c r="I66">
        <f>IF(ISNUMBER(B66),IF(OR(B66&gt;D66,B66&lt;E66),"OUT",""),"")</f>
        <v/>
      </c>
    </row>
    <row r="67">
      <c r="A67" t="n">
        <v>63</v>
      </c>
      <c r="B67">
        <f>IF(ISNUMBER(Capability!B72),Capability!B72,NA())</f>
        <v/>
      </c>
      <c r="C67">
        <f>Capability!$F$5</f>
        <v/>
      </c>
      <c r="D67">
        <f>Capability!$F$5+3*Capability!$F$8</f>
        <v/>
      </c>
      <c r="E67">
        <f>Capability!$F$5-3*Capability!$F$8</f>
        <v/>
      </c>
      <c r="F67">
        <f>IF(ISNUMBER(Capability!C72),Capability!C72,NA())</f>
        <v/>
      </c>
      <c r="G67">
        <f>Capability!$F$7</f>
        <v/>
      </c>
      <c r="H67">
        <f>(1+3*0.8525/1.128379)*Capability!$F$7</f>
        <v/>
      </c>
      <c r="I67">
        <f>IF(ISNUMBER(B67),IF(OR(B67&gt;D67,B67&lt;E67),"OUT",""),"")</f>
        <v/>
      </c>
    </row>
    <row r="68">
      <c r="A68" t="n">
        <v>64</v>
      </c>
      <c r="B68">
        <f>IF(ISNUMBER(Capability!B73),Capability!B73,NA())</f>
        <v/>
      </c>
      <c r="C68">
        <f>Capability!$F$5</f>
        <v/>
      </c>
      <c r="D68">
        <f>Capability!$F$5+3*Capability!$F$8</f>
        <v/>
      </c>
      <c r="E68">
        <f>Capability!$F$5-3*Capability!$F$8</f>
        <v/>
      </c>
      <c r="F68">
        <f>IF(ISNUMBER(Capability!C73),Capability!C73,NA())</f>
        <v/>
      </c>
      <c r="G68">
        <f>Capability!$F$7</f>
        <v/>
      </c>
      <c r="H68">
        <f>(1+3*0.8525/1.128379)*Capability!$F$7</f>
        <v/>
      </c>
      <c r="I68">
        <f>IF(ISNUMBER(B68),IF(OR(B68&gt;D68,B68&lt;E68),"OUT",""),"")</f>
        <v/>
      </c>
    </row>
    <row r="69">
      <c r="A69" t="n">
        <v>65</v>
      </c>
      <c r="B69">
        <f>IF(ISNUMBER(Capability!B74),Capability!B74,NA())</f>
        <v/>
      </c>
      <c r="C69">
        <f>Capability!$F$5</f>
        <v/>
      </c>
      <c r="D69">
        <f>Capability!$F$5+3*Capability!$F$8</f>
        <v/>
      </c>
      <c r="E69">
        <f>Capability!$F$5-3*Capability!$F$8</f>
        <v/>
      </c>
      <c r="F69">
        <f>IF(ISNUMBER(Capability!C74),Capability!C74,NA())</f>
        <v/>
      </c>
      <c r="G69">
        <f>Capability!$F$7</f>
        <v/>
      </c>
      <c r="H69">
        <f>(1+3*0.8525/1.128379)*Capability!$F$7</f>
        <v/>
      </c>
      <c r="I69">
        <f>IF(ISNUMBER(B69),IF(OR(B69&gt;D69,B69&lt;E69),"OUT",""),"")</f>
        <v/>
      </c>
    </row>
    <row r="70">
      <c r="A70" t="n">
        <v>66</v>
      </c>
      <c r="B70">
        <f>IF(ISNUMBER(Capability!B75),Capability!B75,NA())</f>
        <v/>
      </c>
      <c r="C70">
        <f>Capability!$F$5</f>
        <v/>
      </c>
      <c r="D70">
        <f>Capability!$F$5+3*Capability!$F$8</f>
        <v/>
      </c>
      <c r="E70">
        <f>Capability!$F$5-3*Capability!$F$8</f>
        <v/>
      </c>
      <c r="F70">
        <f>IF(ISNUMBER(Capability!C75),Capability!C75,NA())</f>
        <v/>
      </c>
      <c r="G70">
        <f>Capability!$F$7</f>
        <v/>
      </c>
      <c r="H70">
        <f>(1+3*0.8525/1.128379)*Capability!$F$7</f>
        <v/>
      </c>
      <c r="I70">
        <f>IF(ISNUMBER(B70),IF(OR(B70&gt;D70,B70&lt;E70),"OUT",""),"")</f>
        <v/>
      </c>
    </row>
    <row r="71">
      <c r="A71" t="n">
        <v>67</v>
      </c>
      <c r="B71">
        <f>IF(ISNUMBER(Capability!B76),Capability!B76,NA())</f>
        <v/>
      </c>
      <c r="C71">
        <f>Capability!$F$5</f>
        <v/>
      </c>
      <c r="D71">
        <f>Capability!$F$5+3*Capability!$F$8</f>
        <v/>
      </c>
      <c r="E71">
        <f>Capability!$F$5-3*Capability!$F$8</f>
        <v/>
      </c>
      <c r="F71">
        <f>IF(ISNUMBER(Capability!C76),Capability!C76,NA())</f>
        <v/>
      </c>
      <c r="G71">
        <f>Capability!$F$7</f>
        <v/>
      </c>
      <c r="H71">
        <f>(1+3*0.8525/1.128379)*Capability!$F$7</f>
        <v/>
      </c>
      <c r="I71">
        <f>IF(ISNUMBER(B71),IF(OR(B71&gt;D71,B71&lt;E71),"OUT",""),"")</f>
        <v/>
      </c>
    </row>
    <row r="72">
      <c r="A72" t="n">
        <v>68</v>
      </c>
      <c r="B72">
        <f>IF(ISNUMBER(Capability!B77),Capability!B77,NA())</f>
        <v/>
      </c>
      <c r="C72">
        <f>Capability!$F$5</f>
        <v/>
      </c>
      <c r="D72">
        <f>Capability!$F$5+3*Capability!$F$8</f>
        <v/>
      </c>
      <c r="E72">
        <f>Capability!$F$5-3*Capability!$F$8</f>
        <v/>
      </c>
      <c r="F72">
        <f>IF(ISNUMBER(Capability!C77),Capability!C77,NA())</f>
        <v/>
      </c>
      <c r="G72">
        <f>Capability!$F$7</f>
        <v/>
      </c>
      <c r="H72">
        <f>(1+3*0.8525/1.128379)*Capability!$F$7</f>
        <v/>
      </c>
      <c r="I72">
        <f>IF(ISNUMBER(B72),IF(OR(B72&gt;D72,B72&lt;E72),"OUT",""),"")</f>
        <v/>
      </c>
    </row>
    <row r="73">
      <c r="A73" t="n">
        <v>69</v>
      </c>
      <c r="B73">
        <f>IF(ISNUMBER(Capability!B78),Capability!B78,NA())</f>
        <v/>
      </c>
      <c r="C73">
        <f>Capability!$F$5</f>
        <v/>
      </c>
      <c r="D73">
        <f>Capability!$F$5+3*Capability!$F$8</f>
        <v/>
      </c>
      <c r="E73">
        <f>Capability!$F$5-3*Capability!$F$8</f>
        <v/>
      </c>
      <c r="F73">
        <f>IF(ISNUMBER(Capability!C78),Capability!C78,NA())</f>
        <v/>
      </c>
      <c r="G73">
        <f>Capability!$F$7</f>
        <v/>
      </c>
      <c r="H73">
        <f>(1+3*0.8525/1.128379)*Capability!$F$7</f>
        <v/>
      </c>
      <c r="I73">
        <f>IF(ISNUMBER(B73),IF(OR(B73&gt;D73,B73&lt;E73),"OUT",""),"")</f>
        <v/>
      </c>
    </row>
    <row r="74">
      <c r="A74" t="n">
        <v>70</v>
      </c>
      <c r="B74">
        <f>IF(ISNUMBER(Capability!B79),Capability!B79,NA())</f>
        <v/>
      </c>
      <c r="C74">
        <f>Capability!$F$5</f>
        <v/>
      </c>
      <c r="D74">
        <f>Capability!$F$5+3*Capability!$F$8</f>
        <v/>
      </c>
      <c r="E74">
        <f>Capability!$F$5-3*Capability!$F$8</f>
        <v/>
      </c>
      <c r="F74">
        <f>IF(ISNUMBER(Capability!C79),Capability!C79,NA())</f>
        <v/>
      </c>
      <c r="G74">
        <f>Capability!$F$7</f>
        <v/>
      </c>
      <c r="H74">
        <f>(1+3*0.8525/1.128379)*Capability!$F$7</f>
        <v/>
      </c>
      <c r="I74">
        <f>IF(ISNUMBER(B74),IF(OR(B74&gt;D74,B74&lt;E74),"OUT",""),"")</f>
        <v/>
      </c>
    </row>
    <row r="75">
      <c r="A75" t="n">
        <v>71</v>
      </c>
      <c r="B75">
        <f>IF(ISNUMBER(Capability!B80),Capability!B80,NA())</f>
        <v/>
      </c>
      <c r="C75">
        <f>Capability!$F$5</f>
        <v/>
      </c>
      <c r="D75">
        <f>Capability!$F$5+3*Capability!$F$8</f>
        <v/>
      </c>
      <c r="E75">
        <f>Capability!$F$5-3*Capability!$F$8</f>
        <v/>
      </c>
      <c r="F75">
        <f>IF(ISNUMBER(Capability!C80),Capability!C80,NA())</f>
        <v/>
      </c>
      <c r="G75">
        <f>Capability!$F$7</f>
        <v/>
      </c>
      <c r="H75">
        <f>(1+3*0.8525/1.128379)*Capability!$F$7</f>
        <v/>
      </c>
      <c r="I75">
        <f>IF(ISNUMBER(B75),IF(OR(B75&gt;D75,B75&lt;E75),"OUT",""),"")</f>
        <v/>
      </c>
    </row>
    <row r="76">
      <c r="A76" t="n">
        <v>72</v>
      </c>
      <c r="B76">
        <f>IF(ISNUMBER(Capability!B81),Capability!B81,NA())</f>
        <v/>
      </c>
      <c r="C76">
        <f>Capability!$F$5</f>
        <v/>
      </c>
      <c r="D76">
        <f>Capability!$F$5+3*Capability!$F$8</f>
        <v/>
      </c>
      <c r="E76">
        <f>Capability!$F$5-3*Capability!$F$8</f>
        <v/>
      </c>
      <c r="F76">
        <f>IF(ISNUMBER(Capability!C81),Capability!C81,NA())</f>
        <v/>
      </c>
      <c r="G76">
        <f>Capability!$F$7</f>
        <v/>
      </c>
      <c r="H76">
        <f>(1+3*0.8525/1.128379)*Capability!$F$7</f>
        <v/>
      </c>
      <c r="I76">
        <f>IF(ISNUMBER(B76),IF(OR(B76&gt;D76,B76&lt;E76),"OUT",""),"")</f>
        <v/>
      </c>
    </row>
    <row r="77">
      <c r="A77" t="n">
        <v>73</v>
      </c>
      <c r="B77">
        <f>IF(ISNUMBER(Capability!B82),Capability!B82,NA())</f>
        <v/>
      </c>
      <c r="C77">
        <f>Capability!$F$5</f>
        <v/>
      </c>
      <c r="D77">
        <f>Capability!$F$5+3*Capability!$F$8</f>
        <v/>
      </c>
      <c r="E77">
        <f>Capability!$F$5-3*Capability!$F$8</f>
        <v/>
      </c>
      <c r="F77">
        <f>IF(ISNUMBER(Capability!C82),Capability!C82,NA())</f>
        <v/>
      </c>
      <c r="G77">
        <f>Capability!$F$7</f>
        <v/>
      </c>
      <c r="H77">
        <f>(1+3*0.8525/1.128379)*Capability!$F$7</f>
        <v/>
      </c>
      <c r="I77">
        <f>IF(ISNUMBER(B77),IF(OR(B77&gt;D77,B77&lt;E77),"OUT",""),"")</f>
        <v/>
      </c>
    </row>
    <row r="78">
      <c r="A78" t="n">
        <v>74</v>
      </c>
      <c r="B78">
        <f>IF(ISNUMBER(Capability!B83),Capability!B83,NA())</f>
        <v/>
      </c>
      <c r="C78">
        <f>Capability!$F$5</f>
        <v/>
      </c>
      <c r="D78">
        <f>Capability!$F$5+3*Capability!$F$8</f>
        <v/>
      </c>
      <c r="E78">
        <f>Capability!$F$5-3*Capability!$F$8</f>
        <v/>
      </c>
      <c r="F78">
        <f>IF(ISNUMBER(Capability!C83),Capability!C83,NA())</f>
        <v/>
      </c>
      <c r="G78">
        <f>Capability!$F$7</f>
        <v/>
      </c>
      <c r="H78">
        <f>(1+3*0.8525/1.128379)*Capability!$F$7</f>
        <v/>
      </c>
      <c r="I78">
        <f>IF(ISNUMBER(B78),IF(OR(B78&gt;D78,B78&lt;E78),"OUT",""),"")</f>
        <v/>
      </c>
    </row>
    <row r="79">
      <c r="A79" t="n">
        <v>75</v>
      </c>
      <c r="B79">
        <f>IF(ISNUMBER(Capability!B84),Capability!B84,NA())</f>
        <v/>
      </c>
      <c r="C79">
        <f>Capability!$F$5</f>
        <v/>
      </c>
      <c r="D79">
        <f>Capability!$F$5+3*Capability!$F$8</f>
        <v/>
      </c>
      <c r="E79">
        <f>Capability!$F$5-3*Capability!$F$8</f>
        <v/>
      </c>
      <c r="F79">
        <f>IF(ISNUMBER(Capability!C84),Capability!C84,NA())</f>
        <v/>
      </c>
      <c r="G79">
        <f>Capability!$F$7</f>
        <v/>
      </c>
      <c r="H79">
        <f>(1+3*0.8525/1.128379)*Capability!$F$7</f>
        <v/>
      </c>
      <c r="I79">
        <f>IF(ISNUMBER(B79),IF(OR(B79&gt;D79,B79&lt;E79),"OUT",""),"")</f>
        <v/>
      </c>
    </row>
    <row r="80">
      <c r="A80" t="n">
        <v>76</v>
      </c>
      <c r="B80">
        <f>IF(ISNUMBER(Capability!B85),Capability!B85,NA())</f>
        <v/>
      </c>
      <c r="C80">
        <f>Capability!$F$5</f>
        <v/>
      </c>
      <c r="D80">
        <f>Capability!$F$5+3*Capability!$F$8</f>
        <v/>
      </c>
      <c r="E80">
        <f>Capability!$F$5-3*Capability!$F$8</f>
        <v/>
      </c>
      <c r="F80">
        <f>IF(ISNUMBER(Capability!C85),Capability!C85,NA())</f>
        <v/>
      </c>
      <c r="G80">
        <f>Capability!$F$7</f>
        <v/>
      </c>
      <c r="H80">
        <f>(1+3*0.8525/1.128379)*Capability!$F$7</f>
        <v/>
      </c>
      <c r="I80">
        <f>IF(ISNUMBER(B80),IF(OR(B80&gt;D80,B80&lt;E80),"OUT",""),"")</f>
        <v/>
      </c>
    </row>
    <row r="81">
      <c r="A81" t="n">
        <v>77</v>
      </c>
      <c r="B81">
        <f>IF(ISNUMBER(Capability!B86),Capability!B86,NA())</f>
        <v/>
      </c>
      <c r="C81">
        <f>Capability!$F$5</f>
        <v/>
      </c>
      <c r="D81">
        <f>Capability!$F$5+3*Capability!$F$8</f>
        <v/>
      </c>
      <c r="E81">
        <f>Capability!$F$5-3*Capability!$F$8</f>
        <v/>
      </c>
      <c r="F81">
        <f>IF(ISNUMBER(Capability!C86),Capability!C86,NA())</f>
        <v/>
      </c>
      <c r="G81">
        <f>Capability!$F$7</f>
        <v/>
      </c>
      <c r="H81">
        <f>(1+3*0.8525/1.128379)*Capability!$F$7</f>
        <v/>
      </c>
      <c r="I81">
        <f>IF(ISNUMBER(B81),IF(OR(B81&gt;D81,B81&lt;E81),"OUT",""),"")</f>
        <v/>
      </c>
    </row>
    <row r="82">
      <c r="A82" t="n">
        <v>78</v>
      </c>
      <c r="B82">
        <f>IF(ISNUMBER(Capability!B87),Capability!B87,NA())</f>
        <v/>
      </c>
      <c r="C82">
        <f>Capability!$F$5</f>
        <v/>
      </c>
      <c r="D82">
        <f>Capability!$F$5+3*Capability!$F$8</f>
        <v/>
      </c>
      <c r="E82">
        <f>Capability!$F$5-3*Capability!$F$8</f>
        <v/>
      </c>
      <c r="F82">
        <f>IF(ISNUMBER(Capability!C87),Capability!C87,NA())</f>
        <v/>
      </c>
      <c r="G82">
        <f>Capability!$F$7</f>
        <v/>
      </c>
      <c r="H82">
        <f>(1+3*0.8525/1.128379)*Capability!$F$7</f>
        <v/>
      </c>
      <c r="I82">
        <f>IF(ISNUMBER(B82),IF(OR(B82&gt;D82,B82&lt;E82),"OUT",""),"")</f>
        <v/>
      </c>
    </row>
    <row r="83">
      <c r="A83" t="n">
        <v>79</v>
      </c>
      <c r="B83">
        <f>IF(ISNUMBER(Capability!B88),Capability!B88,NA())</f>
        <v/>
      </c>
      <c r="C83">
        <f>Capability!$F$5</f>
        <v/>
      </c>
      <c r="D83">
        <f>Capability!$F$5+3*Capability!$F$8</f>
        <v/>
      </c>
      <c r="E83">
        <f>Capability!$F$5-3*Capability!$F$8</f>
        <v/>
      </c>
      <c r="F83">
        <f>IF(ISNUMBER(Capability!C88),Capability!C88,NA())</f>
        <v/>
      </c>
      <c r="G83">
        <f>Capability!$F$7</f>
        <v/>
      </c>
      <c r="H83">
        <f>(1+3*0.8525/1.128379)*Capability!$F$7</f>
        <v/>
      </c>
      <c r="I83">
        <f>IF(ISNUMBER(B83),IF(OR(B83&gt;D83,B83&lt;E83),"OUT",""),"")</f>
        <v/>
      </c>
    </row>
    <row r="84">
      <c r="A84" t="n">
        <v>80</v>
      </c>
      <c r="B84">
        <f>IF(ISNUMBER(Capability!B89),Capability!B89,NA())</f>
        <v/>
      </c>
      <c r="C84">
        <f>Capability!$F$5</f>
        <v/>
      </c>
      <c r="D84">
        <f>Capability!$F$5+3*Capability!$F$8</f>
        <v/>
      </c>
      <c r="E84">
        <f>Capability!$F$5-3*Capability!$F$8</f>
        <v/>
      </c>
      <c r="F84">
        <f>IF(ISNUMBER(Capability!C89),Capability!C89,NA())</f>
        <v/>
      </c>
      <c r="G84">
        <f>Capability!$F$7</f>
        <v/>
      </c>
      <c r="H84">
        <f>(1+3*0.8525/1.128379)*Capability!$F$7</f>
        <v/>
      </c>
      <c r="I84">
        <f>IF(ISNUMBER(B84),IF(OR(B84&gt;D84,B84&lt;E84),"OUT",""),"")</f>
        <v/>
      </c>
    </row>
    <row r="85">
      <c r="A85" t="n">
        <v>81</v>
      </c>
      <c r="B85">
        <f>IF(ISNUMBER(Capability!B90),Capability!B90,NA())</f>
        <v/>
      </c>
      <c r="C85">
        <f>Capability!$F$5</f>
        <v/>
      </c>
      <c r="D85">
        <f>Capability!$F$5+3*Capability!$F$8</f>
        <v/>
      </c>
      <c r="E85">
        <f>Capability!$F$5-3*Capability!$F$8</f>
        <v/>
      </c>
      <c r="F85">
        <f>IF(ISNUMBER(Capability!C90),Capability!C90,NA())</f>
        <v/>
      </c>
      <c r="G85">
        <f>Capability!$F$7</f>
        <v/>
      </c>
      <c r="H85">
        <f>(1+3*0.8525/1.128379)*Capability!$F$7</f>
        <v/>
      </c>
      <c r="I85">
        <f>IF(ISNUMBER(B85),IF(OR(B85&gt;D85,B85&lt;E85),"OUT",""),"")</f>
        <v/>
      </c>
    </row>
    <row r="86">
      <c r="A86" t="n">
        <v>82</v>
      </c>
      <c r="B86">
        <f>IF(ISNUMBER(Capability!B91),Capability!B91,NA())</f>
        <v/>
      </c>
      <c r="C86">
        <f>Capability!$F$5</f>
        <v/>
      </c>
      <c r="D86">
        <f>Capability!$F$5+3*Capability!$F$8</f>
        <v/>
      </c>
      <c r="E86">
        <f>Capability!$F$5-3*Capability!$F$8</f>
        <v/>
      </c>
      <c r="F86">
        <f>IF(ISNUMBER(Capability!C91),Capability!C91,NA())</f>
        <v/>
      </c>
      <c r="G86">
        <f>Capability!$F$7</f>
        <v/>
      </c>
      <c r="H86">
        <f>(1+3*0.8525/1.128379)*Capability!$F$7</f>
        <v/>
      </c>
      <c r="I86">
        <f>IF(ISNUMBER(B86),IF(OR(B86&gt;D86,B86&lt;E86),"OUT",""),"")</f>
        <v/>
      </c>
    </row>
    <row r="87">
      <c r="A87" t="n">
        <v>83</v>
      </c>
      <c r="B87">
        <f>IF(ISNUMBER(Capability!B92),Capability!B92,NA())</f>
        <v/>
      </c>
      <c r="C87">
        <f>Capability!$F$5</f>
        <v/>
      </c>
      <c r="D87">
        <f>Capability!$F$5+3*Capability!$F$8</f>
        <v/>
      </c>
      <c r="E87">
        <f>Capability!$F$5-3*Capability!$F$8</f>
        <v/>
      </c>
      <c r="F87">
        <f>IF(ISNUMBER(Capability!C92),Capability!C92,NA())</f>
        <v/>
      </c>
      <c r="G87">
        <f>Capability!$F$7</f>
        <v/>
      </c>
      <c r="H87">
        <f>(1+3*0.8525/1.128379)*Capability!$F$7</f>
        <v/>
      </c>
      <c r="I87">
        <f>IF(ISNUMBER(B87),IF(OR(B87&gt;D87,B87&lt;E87),"OUT",""),"")</f>
        <v/>
      </c>
    </row>
    <row r="88">
      <c r="A88" t="n">
        <v>84</v>
      </c>
      <c r="B88">
        <f>IF(ISNUMBER(Capability!B93),Capability!B93,NA())</f>
        <v/>
      </c>
      <c r="C88">
        <f>Capability!$F$5</f>
        <v/>
      </c>
      <c r="D88">
        <f>Capability!$F$5+3*Capability!$F$8</f>
        <v/>
      </c>
      <c r="E88">
        <f>Capability!$F$5-3*Capability!$F$8</f>
        <v/>
      </c>
      <c r="F88">
        <f>IF(ISNUMBER(Capability!C93),Capability!C93,NA())</f>
        <v/>
      </c>
      <c r="G88">
        <f>Capability!$F$7</f>
        <v/>
      </c>
      <c r="H88">
        <f>(1+3*0.8525/1.128379)*Capability!$F$7</f>
        <v/>
      </c>
      <c r="I88">
        <f>IF(ISNUMBER(B88),IF(OR(B88&gt;D88,B88&lt;E88),"OUT",""),"")</f>
        <v/>
      </c>
    </row>
    <row r="89">
      <c r="A89" t="n">
        <v>85</v>
      </c>
      <c r="B89">
        <f>IF(ISNUMBER(Capability!B94),Capability!B94,NA())</f>
        <v/>
      </c>
      <c r="C89">
        <f>Capability!$F$5</f>
        <v/>
      </c>
      <c r="D89">
        <f>Capability!$F$5+3*Capability!$F$8</f>
        <v/>
      </c>
      <c r="E89">
        <f>Capability!$F$5-3*Capability!$F$8</f>
        <v/>
      </c>
      <c r="F89">
        <f>IF(ISNUMBER(Capability!C94),Capability!C94,NA())</f>
        <v/>
      </c>
      <c r="G89">
        <f>Capability!$F$7</f>
        <v/>
      </c>
      <c r="H89">
        <f>(1+3*0.8525/1.128379)*Capability!$F$7</f>
        <v/>
      </c>
      <c r="I89">
        <f>IF(ISNUMBER(B89),IF(OR(B89&gt;D89,B89&lt;E89),"OUT",""),"")</f>
        <v/>
      </c>
    </row>
    <row r="90">
      <c r="A90" t="n">
        <v>86</v>
      </c>
      <c r="B90">
        <f>IF(ISNUMBER(Capability!B95),Capability!B95,NA())</f>
        <v/>
      </c>
      <c r="C90">
        <f>Capability!$F$5</f>
        <v/>
      </c>
      <c r="D90">
        <f>Capability!$F$5+3*Capability!$F$8</f>
        <v/>
      </c>
      <c r="E90">
        <f>Capability!$F$5-3*Capability!$F$8</f>
        <v/>
      </c>
      <c r="F90">
        <f>IF(ISNUMBER(Capability!C95),Capability!C95,NA())</f>
        <v/>
      </c>
      <c r="G90">
        <f>Capability!$F$7</f>
        <v/>
      </c>
      <c r="H90">
        <f>(1+3*0.8525/1.128379)*Capability!$F$7</f>
        <v/>
      </c>
      <c r="I90">
        <f>IF(ISNUMBER(B90),IF(OR(B90&gt;D90,B90&lt;E90),"OUT",""),"")</f>
        <v/>
      </c>
    </row>
    <row r="91">
      <c r="A91" t="n">
        <v>87</v>
      </c>
      <c r="B91">
        <f>IF(ISNUMBER(Capability!B96),Capability!B96,NA())</f>
        <v/>
      </c>
      <c r="C91">
        <f>Capability!$F$5</f>
        <v/>
      </c>
      <c r="D91">
        <f>Capability!$F$5+3*Capability!$F$8</f>
        <v/>
      </c>
      <c r="E91">
        <f>Capability!$F$5-3*Capability!$F$8</f>
        <v/>
      </c>
      <c r="F91">
        <f>IF(ISNUMBER(Capability!C96),Capability!C96,NA())</f>
        <v/>
      </c>
      <c r="G91">
        <f>Capability!$F$7</f>
        <v/>
      </c>
      <c r="H91">
        <f>(1+3*0.8525/1.128379)*Capability!$F$7</f>
        <v/>
      </c>
      <c r="I91">
        <f>IF(ISNUMBER(B91),IF(OR(B91&gt;D91,B91&lt;E91),"OUT",""),"")</f>
        <v/>
      </c>
    </row>
    <row r="92">
      <c r="A92" t="n">
        <v>88</v>
      </c>
      <c r="B92">
        <f>IF(ISNUMBER(Capability!B97),Capability!B97,NA())</f>
        <v/>
      </c>
      <c r="C92">
        <f>Capability!$F$5</f>
        <v/>
      </c>
      <c r="D92">
        <f>Capability!$F$5+3*Capability!$F$8</f>
        <v/>
      </c>
      <c r="E92">
        <f>Capability!$F$5-3*Capability!$F$8</f>
        <v/>
      </c>
      <c r="F92">
        <f>IF(ISNUMBER(Capability!C97),Capability!C97,NA())</f>
        <v/>
      </c>
      <c r="G92">
        <f>Capability!$F$7</f>
        <v/>
      </c>
      <c r="H92">
        <f>(1+3*0.8525/1.128379)*Capability!$F$7</f>
        <v/>
      </c>
      <c r="I92">
        <f>IF(ISNUMBER(B92),IF(OR(B92&gt;D92,B92&lt;E92),"OUT",""),"")</f>
        <v/>
      </c>
    </row>
    <row r="93">
      <c r="A93" t="n">
        <v>89</v>
      </c>
      <c r="B93">
        <f>IF(ISNUMBER(Capability!B98),Capability!B98,NA())</f>
        <v/>
      </c>
      <c r="C93">
        <f>Capability!$F$5</f>
        <v/>
      </c>
      <c r="D93">
        <f>Capability!$F$5+3*Capability!$F$8</f>
        <v/>
      </c>
      <c r="E93">
        <f>Capability!$F$5-3*Capability!$F$8</f>
        <v/>
      </c>
      <c r="F93">
        <f>IF(ISNUMBER(Capability!C98),Capability!C98,NA())</f>
        <v/>
      </c>
      <c r="G93">
        <f>Capability!$F$7</f>
        <v/>
      </c>
      <c r="H93">
        <f>(1+3*0.8525/1.128379)*Capability!$F$7</f>
        <v/>
      </c>
      <c r="I93">
        <f>IF(ISNUMBER(B93),IF(OR(B93&gt;D93,B93&lt;E93),"OUT",""),"")</f>
        <v/>
      </c>
    </row>
    <row r="94">
      <c r="A94" t="n">
        <v>90</v>
      </c>
      <c r="B94">
        <f>IF(ISNUMBER(Capability!B99),Capability!B99,NA())</f>
        <v/>
      </c>
      <c r="C94">
        <f>Capability!$F$5</f>
        <v/>
      </c>
      <c r="D94">
        <f>Capability!$F$5+3*Capability!$F$8</f>
        <v/>
      </c>
      <c r="E94">
        <f>Capability!$F$5-3*Capability!$F$8</f>
        <v/>
      </c>
      <c r="F94">
        <f>IF(ISNUMBER(Capability!C99),Capability!C99,NA())</f>
        <v/>
      </c>
      <c r="G94">
        <f>Capability!$F$7</f>
        <v/>
      </c>
      <c r="H94">
        <f>(1+3*0.8525/1.128379)*Capability!$F$7</f>
        <v/>
      </c>
      <c r="I94">
        <f>IF(ISNUMBER(B94),IF(OR(B94&gt;D94,B94&lt;E94),"OUT",""),"")</f>
        <v/>
      </c>
    </row>
    <row r="95">
      <c r="A95" t="n">
        <v>91</v>
      </c>
      <c r="B95">
        <f>IF(ISNUMBER(Capability!B100),Capability!B100,NA())</f>
        <v/>
      </c>
      <c r="C95">
        <f>Capability!$F$5</f>
        <v/>
      </c>
      <c r="D95">
        <f>Capability!$F$5+3*Capability!$F$8</f>
        <v/>
      </c>
      <c r="E95">
        <f>Capability!$F$5-3*Capability!$F$8</f>
        <v/>
      </c>
      <c r="F95">
        <f>IF(ISNUMBER(Capability!C100),Capability!C100,NA())</f>
        <v/>
      </c>
      <c r="G95">
        <f>Capability!$F$7</f>
        <v/>
      </c>
      <c r="H95">
        <f>(1+3*0.8525/1.128379)*Capability!$F$7</f>
        <v/>
      </c>
      <c r="I95">
        <f>IF(ISNUMBER(B95),IF(OR(B95&gt;D95,B95&lt;E95),"OUT",""),"")</f>
        <v/>
      </c>
    </row>
    <row r="96">
      <c r="A96" t="n">
        <v>92</v>
      </c>
      <c r="B96">
        <f>IF(ISNUMBER(Capability!B101),Capability!B101,NA())</f>
        <v/>
      </c>
      <c r="C96">
        <f>Capability!$F$5</f>
        <v/>
      </c>
      <c r="D96">
        <f>Capability!$F$5+3*Capability!$F$8</f>
        <v/>
      </c>
      <c r="E96">
        <f>Capability!$F$5-3*Capability!$F$8</f>
        <v/>
      </c>
      <c r="F96">
        <f>IF(ISNUMBER(Capability!C101),Capability!C101,NA())</f>
        <v/>
      </c>
      <c r="G96">
        <f>Capability!$F$7</f>
        <v/>
      </c>
      <c r="H96">
        <f>(1+3*0.8525/1.128379)*Capability!$F$7</f>
        <v/>
      </c>
      <c r="I96">
        <f>IF(ISNUMBER(B96),IF(OR(B96&gt;D96,B96&lt;E96),"OUT",""),"")</f>
        <v/>
      </c>
    </row>
    <row r="97">
      <c r="A97" t="n">
        <v>93</v>
      </c>
      <c r="B97">
        <f>IF(ISNUMBER(Capability!B102),Capability!B102,NA())</f>
        <v/>
      </c>
      <c r="C97">
        <f>Capability!$F$5</f>
        <v/>
      </c>
      <c r="D97">
        <f>Capability!$F$5+3*Capability!$F$8</f>
        <v/>
      </c>
      <c r="E97">
        <f>Capability!$F$5-3*Capability!$F$8</f>
        <v/>
      </c>
      <c r="F97">
        <f>IF(ISNUMBER(Capability!C102),Capability!C102,NA())</f>
        <v/>
      </c>
      <c r="G97">
        <f>Capability!$F$7</f>
        <v/>
      </c>
      <c r="H97">
        <f>(1+3*0.8525/1.128379)*Capability!$F$7</f>
        <v/>
      </c>
      <c r="I97">
        <f>IF(ISNUMBER(B97),IF(OR(B97&gt;D97,B97&lt;E97),"OUT",""),"")</f>
        <v/>
      </c>
    </row>
    <row r="98">
      <c r="A98" t="n">
        <v>94</v>
      </c>
      <c r="B98">
        <f>IF(ISNUMBER(Capability!B103),Capability!B103,NA())</f>
        <v/>
      </c>
      <c r="C98">
        <f>Capability!$F$5</f>
        <v/>
      </c>
      <c r="D98">
        <f>Capability!$F$5+3*Capability!$F$8</f>
        <v/>
      </c>
      <c r="E98">
        <f>Capability!$F$5-3*Capability!$F$8</f>
        <v/>
      </c>
      <c r="F98">
        <f>IF(ISNUMBER(Capability!C103),Capability!C103,NA())</f>
        <v/>
      </c>
      <c r="G98">
        <f>Capability!$F$7</f>
        <v/>
      </c>
      <c r="H98">
        <f>(1+3*0.8525/1.128379)*Capability!$F$7</f>
        <v/>
      </c>
      <c r="I98">
        <f>IF(ISNUMBER(B98),IF(OR(B98&gt;D98,B98&lt;E98),"OUT",""),"")</f>
        <v/>
      </c>
    </row>
    <row r="99">
      <c r="A99" t="n">
        <v>95</v>
      </c>
      <c r="B99">
        <f>IF(ISNUMBER(Capability!B104),Capability!B104,NA())</f>
        <v/>
      </c>
      <c r="C99">
        <f>Capability!$F$5</f>
        <v/>
      </c>
      <c r="D99">
        <f>Capability!$F$5+3*Capability!$F$8</f>
        <v/>
      </c>
      <c r="E99">
        <f>Capability!$F$5-3*Capability!$F$8</f>
        <v/>
      </c>
      <c r="F99">
        <f>IF(ISNUMBER(Capability!C104),Capability!C104,NA())</f>
        <v/>
      </c>
      <c r="G99">
        <f>Capability!$F$7</f>
        <v/>
      </c>
      <c r="H99">
        <f>(1+3*0.8525/1.128379)*Capability!$F$7</f>
        <v/>
      </c>
      <c r="I99">
        <f>IF(ISNUMBER(B99),IF(OR(B99&gt;D99,B99&lt;E99),"OUT",""),"")</f>
        <v/>
      </c>
    </row>
    <row r="100">
      <c r="A100" t="n">
        <v>96</v>
      </c>
      <c r="B100">
        <f>IF(ISNUMBER(Capability!B105),Capability!B105,NA())</f>
        <v/>
      </c>
      <c r="C100">
        <f>Capability!$F$5</f>
        <v/>
      </c>
      <c r="D100">
        <f>Capability!$F$5+3*Capability!$F$8</f>
        <v/>
      </c>
      <c r="E100">
        <f>Capability!$F$5-3*Capability!$F$8</f>
        <v/>
      </c>
      <c r="F100">
        <f>IF(ISNUMBER(Capability!C105),Capability!C105,NA())</f>
        <v/>
      </c>
      <c r="G100">
        <f>Capability!$F$7</f>
        <v/>
      </c>
      <c r="H100">
        <f>(1+3*0.8525/1.128379)*Capability!$F$7</f>
        <v/>
      </c>
      <c r="I100">
        <f>IF(ISNUMBER(B100),IF(OR(B100&gt;D100,B100&lt;E100),"OUT",""),"")</f>
        <v/>
      </c>
    </row>
    <row r="101">
      <c r="A101" t="n">
        <v>97</v>
      </c>
      <c r="B101">
        <f>IF(ISNUMBER(Capability!B106),Capability!B106,NA())</f>
        <v/>
      </c>
      <c r="C101">
        <f>Capability!$F$5</f>
        <v/>
      </c>
      <c r="D101">
        <f>Capability!$F$5+3*Capability!$F$8</f>
        <v/>
      </c>
      <c r="E101">
        <f>Capability!$F$5-3*Capability!$F$8</f>
        <v/>
      </c>
      <c r="F101">
        <f>IF(ISNUMBER(Capability!C106),Capability!C106,NA())</f>
        <v/>
      </c>
      <c r="G101">
        <f>Capability!$F$7</f>
        <v/>
      </c>
      <c r="H101">
        <f>(1+3*0.8525/1.128379)*Capability!$F$7</f>
        <v/>
      </c>
      <c r="I101">
        <f>IF(ISNUMBER(B101),IF(OR(B101&gt;D101,B101&lt;E101),"OUT",""),"")</f>
        <v/>
      </c>
    </row>
    <row r="102">
      <c r="A102" t="n">
        <v>98</v>
      </c>
      <c r="B102">
        <f>IF(ISNUMBER(Capability!B107),Capability!B107,NA())</f>
        <v/>
      </c>
      <c r="C102">
        <f>Capability!$F$5</f>
        <v/>
      </c>
      <c r="D102">
        <f>Capability!$F$5+3*Capability!$F$8</f>
        <v/>
      </c>
      <c r="E102">
        <f>Capability!$F$5-3*Capability!$F$8</f>
        <v/>
      </c>
      <c r="F102">
        <f>IF(ISNUMBER(Capability!C107),Capability!C107,NA())</f>
        <v/>
      </c>
      <c r="G102">
        <f>Capability!$F$7</f>
        <v/>
      </c>
      <c r="H102">
        <f>(1+3*0.8525/1.128379)*Capability!$F$7</f>
        <v/>
      </c>
      <c r="I102">
        <f>IF(ISNUMBER(B102),IF(OR(B102&gt;D102,B102&lt;E102),"OUT",""),"")</f>
        <v/>
      </c>
    </row>
    <row r="103">
      <c r="A103" t="n">
        <v>99</v>
      </c>
      <c r="B103">
        <f>IF(ISNUMBER(Capability!B108),Capability!B108,NA())</f>
        <v/>
      </c>
      <c r="C103">
        <f>Capability!$F$5</f>
        <v/>
      </c>
      <c r="D103">
        <f>Capability!$F$5+3*Capability!$F$8</f>
        <v/>
      </c>
      <c r="E103">
        <f>Capability!$F$5-3*Capability!$F$8</f>
        <v/>
      </c>
      <c r="F103">
        <f>IF(ISNUMBER(Capability!C108),Capability!C108,NA())</f>
        <v/>
      </c>
      <c r="G103">
        <f>Capability!$F$7</f>
        <v/>
      </c>
      <c r="H103">
        <f>(1+3*0.8525/1.128379)*Capability!$F$7</f>
        <v/>
      </c>
      <c r="I103">
        <f>IF(ISNUMBER(B103),IF(OR(B103&gt;D103,B103&lt;E103),"OUT",""),"")</f>
        <v/>
      </c>
    </row>
    <row r="104">
      <c r="A104" t="n">
        <v>100</v>
      </c>
      <c r="B104">
        <f>IF(ISNUMBER(Capability!B109),Capability!B109,NA())</f>
        <v/>
      </c>
      <c r="C104">
        <f>Capability!$F$5</f>
        <v/>
      </c>
      <c r="D104">
        <f>Capability!$F$5+3*Capability!$F$8</f>
        <v/>
      </c>
      <c r="E104">
        <f>Capability!$F$5-3*Capability!$F$8</f>
        <v/>
      </c>
      <c r="F104">
        <f>IF(ISNUMBER(Capability!C109),Capability!C109,NA())</f>
        <v/>
      </c>
      <c r="G104">
        <f>Capability!$F$7</f>
        <v/>
      </c>
      <c r="H104">
        <f>(1+3*0.8525/1.128379)*Capability!$F$7</f>
        <v/>
      </c>
      <c r="I104">
        <f>IF(ISNUMBER(B104),IF(OR(B104&gt;D104,B104&lt;E104),"OUT",""),"")</f>
        <v/>
      </c>
    </row>
    <row r="105">
      <c r="A105" t="n">
        <v>101</v>
      </c>
      <c r="B105">
        <f>IF(ISNUMBER(Capability!B110),Capability!B110,NA())</f>
        <v/>
      </c>
      <c r="C105">
        <f>Capability!$F$5</f>
        <v/>
      </c>
      <c r="D105">
        <f>Capability!$F$5+3*Capability!$F$8</f>
        <v/>
      </c>
      <c r="E105">
        <f>Capability!$F$5-3*Capability!$F$8</f>
        <v/>
      </c>
      <c r="F105">
        <f>IF(ISNUMBER(Capability!C110),Capability!C110,NA())</f>
        <v/>
      </c>
      <c r="G105">
        <f>Capability!$F$7</f>
        <v/>
      </c>
      <c r="H105">
        <f>(1+3*0.8525/1.128379)*Capability!$F$7</f>
        <v/>
      </c>
      <c r="I105">
        <f>IF(ISNUMBER(B105),IF(OR(B105&gt;D105,B105&lt;E105),"OUT",""),"")</f>
        <v/>
      </c>
    </row>
    <row r="106">
      <c r="A106" t="n">
        <v>102</v>
      </c>
      <c r="B106">
        <f>IF(ISNUMBER(Capability!B111),Capability!B111,NA())</f>
        <v/>
      </c>
      <c r="C106">
        <f>Capability!$F$5</f>
        <v/>
      </c>
      <c r="D106">
        <f>Capability!$F$5+3*Capability!$F$8</f>
        <v/>
      </c>
      <c r="E106">
        <f>Capability!$F$5-3*Capability!$F$8</f>
        <v/>
      </c>
      <c r="F106">
        <f>IF(ISNUMBER(Capability!C111),Capability!C111,NA())</f>
        <v/>
      </c>
      <c r="G106">
        <f>Capability!$F$7</f>
        <v/>
      </c>
      <c r="H106">
        <f>(1+3*0.8525/1.128379)*Capability!$F$7</f>
        <v/>
      </c>
      <c r="I106">
        <f>IF(ISNUMBER(B106),IF(OR(B106&gt;D106,B106&lt;E106),"OUT",""),"")</f>
        <v/>
      </c>
    </row>
    <row r="107">
      <c r="A107" t="n">
        <v>103</v>
      </c>
      <c r="B107">
        <f>IF(ISNUMBER(Capability!B112),Capability!B112,NA())</f>
        <v/>
      </c>
      <c r="C107">
        <f>Capability!$F$5</f>
        <v/>
      </c>
      <c r="D107">
        <f>Capability!$F$5+3*Capability!$F$8</f>
        <v/>
      </c>
      <c r="E107">
        <f>Capability!$F$5-3*Capability!$F$8</f>
        <v/>
      </c>
      <c r="F107">
        <f>IF(ISNUMBER(Capability!C112),Capability!C112,NA())</f>
        <v/>
      </c>
      <c r="G107">
        <f>Capability!$F$7</f>
        <v/>
      </c>
      <c r="H107">
        <f>(1+3*0.8525/1.128379)*Capability!$F$7</f>
        <v/>
      </c>
      <c r="I107">
        <f>IF(ISNUMBER(B107),IF(OR(B107&gt;D107,B107&lt;E107),"OUT",""),"")</f>
        <v/>
      </c>
    </row>
    <row r="108">
      <c r="A108" t="n">
        <v>104</v>
      </c>
      <c r="B108">
        <f>IF(ISNUMBER(Capability!B113),Capability!B113,NA())</f>
        <v/>
      </c>
      <c r="C108">
        <f>Capability!$F$5</f>
        <v/>
      </c>
      <c r="D108">
        <f>Capability!$F$5+3*Capability!$F$8</f>
        <v/>
      </c>
      <c r="E108">
        <f>Capability!$F$5-3*Capability!$F$8</f>
        <v/>
      </c>
      <c r="F108">
        <f>IF(ISNUMBER(Capability!C113),Capability!C113,NA())</f>
        <v/>
      </c>
      <c r="G108">
        <f>Capability!$F$7</f>
        <v/>
      </c>
      <c r="H108">
        <f>(1+3*0.8525/1.128379)*Capability!$F$7</f>
        <v/>
      </c>
      <c r="I108">
        <f>IF(ISNUMBER(B108),IF(OR(B108&gt;D108,B108&lt;E108),"OUT",""),"")</f>
        <v/>
      </c>
    </row>
    <row r="109">
      <c r="A109" t="n">
        <v>105</v>
      </c>
      <c r="B109">
        <f>IF(ISNUMBER(Capability!B114),Capability!B114,NA())</f>
        <v/>
      </c>
      <c r="C109">
        <f>Capability!$F$5</f>
        <v/>
      </c>
      <c r="D109">
        <f>Capability!$F$5+3*Capability!$F$8</f>
        <v/>
      </c>
      <c r="E109">
        <f>Capability!$F$5-3*Capability!$F$8</f>
        <v/>
      </c>
      <c r="F109">
        <f>IF(ISNUMBER(Capability!C114),Capability!C114,NA())</f>
        <v/>
      </c>
      <c r="G109">
        <f>Capability!$F$7</f>
        <v/>
      </c>
      <c r="H109">
        <f>(1+3*0.8525/1.128379)*Capability!$F$7</f>
        <v/>
      </c>
      <c r="I109">
        <f>IF(ISNUMBER(B109),IF(OR(B109&gt;D109,B109&lt;E109),"OUT",""),"")</f>
        <v/>
      </c>
    </row>
    <row r="110">
      <c r="A110" t="n">
        <v>106</v>
      </c>
      <c r="B110">
        <f>IF(ISNUMBER(Capability!B115),Capability!B115,NA())</f>
        <v/>
      </c>
      <c r="C110">
        <f>Capability!$F$5</f>
        <v/>
      </c>
      <c r="D110">
        <f>Capability!$F$5+3*Capability!$F$8</f>
        <v/>
      </c>
      <c r="E110">
        <f>Capability!$F$5-3*Capability!$F$8</f>
        <v/>
      </c>
      <c r="F110">
        <f>IF(ISNUMBER(Capability!C115),Capability!C115,NA())</f>
        <v/>
      </c>
      <c r="G110">
        <f>Capability!$F$7</f>
        <v/>
      </c>
      <c r="H110">
        <f>(1+3*0.8525/1.128379)*Capability!$F$7</f>
        <v/>
      </c>
      <c r="I110">
        <f>IF(ISNUMBER(B110),IF(OR(B110&gt;D110,B110&lt;E110),"OUT",""),"")</f>
        <v/>
      </c>
    </row>
    <row r="111">
      <c r="A111" t="n">
        <v>107</v>
      </c>
      <c r="B111">
        <f>IF(ISNUMBER(Capability!B116),Capability!B116,NA())</f>
        <v/>
      </c>
      <c r="C111">
        <f>Capability!$F$5</f>
        <v/>
      </c>
      <c r="D111">
        <f>Capability!$F$5+3*Capability!$F$8</f>
        <v/>
      </c>
      <c r="E111">
        <f>Capability!$F$5-3*Capability!$F$8</f>
        <v/>
      </c>
      <c r="F111">
        <f>IF(ISNUMBER(Capability!C116),Capability!C116,NA())</f>
        <v/>
      </c>
      <c r="G111">
        <f>Capability!$F$7</f>
        <v/>
      </c>
      <c r="H111">
        <f>(1+3*0.8525/1.128379)*Capability!$F$7</f>
        <v/>
      </c>
      <c r="I111">
        <f>IF(ISNUMBER(B111),IF(OR(B111&gt;D111,B111&lt;E111),"OUT",""),"")</f>
        <v/>
      </c>
    </row>
    <row r="112">
      <c r="A112" t="n">
        <v>108</v>
      </c>
      <c r="B112">
        <f>IF(ISNUMBER(Capability!B117),Capability!B117,NA())</f>
        <v/>
      </c>
      <c r="C112">
        <f>Capability!$F$5</f>
        <v/>
      </c>
      <c r="D112">
        <f>Capability!$F$5+3*Capability!$F$8</f>
        <v/>
      </c>
      <c r="E112">
        <f>Capability!$F$5-3*Capability!$F$8</f>
        <v/>
      </c>
      <c r="F112">
        <f>IF(ISNUMBER(Capability!C117),Capability!C117,NA())</f>
        <v/>
      </c>
      <c r="G112">
        <f>Capability!$F$7</f>
        <v/>
      </c>
      <c r="H112">
        <f>(1+3*0.8525/1.128379)*Capability!$F$7</f>
        <v/>
      </c>
      <c r="I112">
        <f>IF(ISNUMBER(B112),IF(OR(B112&gt;D112,B112&lt;E112),"OUT",""),"")</f>
        <v/>
      </c>
    </row>
    <row r="113">
      <c r="A113" t="n">
        <v>109</v>
      </c>
      <c r="B113">
        <f>IF(ISNUMBER(Capability!B118),Capability!B118,NA())</f>
        <v/>
      </c>
      <c r="C113">
        <f>Capability!$F$5</f>
        <v/>
      </c>
      <c r="D113">
        <f>Capability!$F$5+3*Capability!$F$8</f>
        <v/>
      </c>
      <c r="E113">
        <f>Capability!$F$5-3*Capability!$F$8</f>
        <v/>
      </c>
      <c r="F113">
        <f>IF(ISNUMBER(Capability!C118),Capability!C118,NA())</f>
        <v/>
      </c>
      <c r="G113">
        <f>Capability!$F$7</f>
        <v/>
      </c>
      <c r="H113">
        <f>(1+3*0.8525/1.128379)*Capability!$F$7</f>
        <v/>
      </c>
      <c r="I113">
        <f>IF(ISNUMBER(B113),IF(OR(B113&gt;D113,B113&lt;E113),"OUT",""),"")</f>
        <v/>
      </c>
    </row>
    <row r="114">
      <c r="A114" t="n">
        <v>110</v>
      </c>
      <c r="B114">
        <f>IF(ISNUMBER(Capability!B119),Capability!B119,NA())</f>
        <v/>
      </c>
      <c r="C114">
        <f>Capability!$F$5</f>
        <v/>
      </c>
      <c r="D114">
        <f>Capability!$F$5+3*Capability!$F$8</f>
        <v/>
      </c>
      <c r="E114">
        <f>Capability!$F$5-3*Capability!$F$8</f>
        <v/>
      </c>
      <c r="F114">
        <f>IF(ISNUMBER(Capability!C119),Capability!C119,NA())</f>
        <v/>
      </c>
      <c r="G114">
        <f>Capability!$F$7</f>
        <v/>
      </c>
      <c r="H114">
        <f>(1+3*0.8525/1.128379)*Capability!$F$7</f>
        <v/>
      </c>
      <c r="I114">
        <f>IF(ISNUMBER(B114),IF(OR(B114&gt;D114,B114&lt;E114),"OUT",""),"")</f>
        <v/>
      </c>
    </row>
    <row r="115">
      <c r="A115" t="n">
        <v>111</v>
      </c>
      <c r="B115">
        <f>IF(ISNUMBER(Capability!B120),Capability!B120,NA())</f>
        <v/>
      </c>
      <c r="C115">
        <f>Capability!$F$5</f>
        <v/>
      </c>
      <c r="D115">
        <f>Capability!$F$5+3*Capability!$F$8</f>
        <v/>
      </c>
      <c r="E115">
        <f>Capability!$F$5-3*Capability!$F$8</f>
        <v/>
      </c>
      <c r="F115">
        <f>IF(ISNUMBER(Capability!C120),Capability!C120,NA())</f>
        <v/>
      </c>
      <c r="G115">
        <f>Capability!$F$7</f>
        <v/>
      </c>
      <c r="H115">
        <f>(1+3*0.8525/1.128379)*Capability!$F$7</f>
        <v/>
      </c>
      <c r="I115">
        <f>IF(ISNUMBER(B115),IF(OR(B115&gt;D115,B115&lt;E115),"OUT",""),"")</f>
        <v/>
      </c>
    </row>
    <row r="116">
      <c r="A116" t="n">
        <v>112</v>
      </c>
      <c r="B116">
        <f>IF(ISNUMBER(Capability!B121),Capability!B121,NA())</f>
        <v/>
      </c>
      <c r="C116">
        <f>Capability!$F$5</f>
        <v/>
      </c>
      <c r="D116">
        <f>Capability!$F$5+3*Capability!$F$8</f>
        <v/>
      </c>
      <c r="E116">
        <f>Capability!$F$5-3*Capability!$F$8</f>
        <v/>
      </c>
      <c r="F116">
        <f>IF(ISNUMBER(Capability!C121),Capability!C121,NA())</f>
        <v/>
      </c>
      <c r="G116">
        <f>Capability!$F$7</f>
        <v/>
      </c>
      <c r="H116">
        <f>(1+3*0.8525/1.128379)*Capability!$F$7</f>
        <v/>
      </c>
      <c r="I116">
        <f>IF(ISNUMBER(B116),IF(OR(B116&gt;D116,B116&lt;E116),"OUT",""),"")</f>
        <v/>
      </c>
    </row>
    <row r="117">
      <c r="A117" t="n">
        <v>113</v>
      </c>
      <c r="B117">
        <f>IF(ISNUMBER(Capability!B122),Capability!B122,NA())</f>
        <v/>
      </c>
      <c r="C117">
        <f>Capability!$F$5</f>
        <v/>
      </c>
      <c r="D117">
        <f>Capability!$F$5+3*Capability!$F$8</f>
        <v/>
      </c>
      <c r="E117">
        <f>Capability!$F$5-3*Capability!$F$8</f>
        <v/>
      </c>
      <c r="F117">
        <f>IF(ISNUMBER(Capability!C122),Capability!C122,NA())</f>
        <v/>
      </c>
      <c r="G117">
        <f>Capability!$F$7</f>
        <v/>
      </c>
      <c r="H117">
        <f>(1+3*0.8525/1.128379)*Capability!$F$7</f>
        <v/>
      </c>
      <c r="I117">
        <f>IF(ISNUMBER(B117),IF(OR(B117&gt;D117,B117&lt;E117),"OUT",""),"")</f>
        <v/>
      </c>
    </row>
    <row r="118">
      <c r="A118" t="n">
        <v>114</v>
      </c>
      <c r="B118">
        <f>IF(ISNUMBER(Capability!B123),Capability!B123,NA())</f>
        <v/>
      </c>
      <c r="C118">
        <f>Capability!$F$5</f>
        <v/>
      </c>
      <c r="D118">
        <f>Capability!$F$5+3*Capability!$F$8</f>
        <v/>
      </c>
      <c r="E118">
        <f>Capability!$F$5-3*Capability!$F$8</f>
        <v/>
      </c>
      <c r="F118">
        <f>IF(ISNUMBER(Capability!C123),Capability!C123,NA())</f>
        <v/>
      </c>
      <c r="G118">
        <f>Capability!$F$7</f>
        <v/>
      </c>
      <c r="H118">
        <f>(1+3*0.8525/1.128379)*Capability!$F$7</f>
        <v/>
      </c>
      <c r="I118">
        <f>IF(ISNUMBER(B118),IF(OR(B118&gt;D118,B118&lt;E118),"OUT",""),"")</f>
        <v/>
      </c>
    </row>
    <row r="119">
      <c r="A119" t="n">
        <v>115</v>
      </c>
      <c r="B119">
        <f>IF(ISNUMBER(Capability!B124),Capability!B124,NA())</f>
        <v/>
      </c>
      <c r="C119">
        <f>Capability!$F$5</f>
        <v/>
      </c>
      <c r="D119">
        <f>Capability!$F$5+3*Capability!$F$8</f>
        <v/>
      </c>
      <c r="E119">
        <f>Capability!$F$5-3*Capability!$F$8</f>
        <v/>
      </c>
      <c r="F119">
        <f>IF(ISNUMBER(Capability!C124),Capability!C124,NA())</f>
        <v/>
      </c>
      <c r="G119">
        <f>Capability!$F$7</f>
        <v/>
      </c>
      <c r="H119">
        <f>(1+3*0.8525/1.128379)*Capability!$F$7</f>
        <v/>
      </c>
      <c r="I119">
        <f>IF(ISNUMBER(B119),IF(OR(B119&gt;D119,B119&lt;E119),"OUT",""),"")</f>
        <v/>
      </c>
    </row>
    <row r="120">
      <c r="A120" t="n">
        <v>116</v>
      </c>
      <c r="B120">
        <f>IF(ISNUMBER(Capability!B125),Capability!B125,NA())</f>
        <v/>
      </c>
      <c r="C120">
        <f>Capability!$F$5</f>
        <v/>
      </c>
      <c r="D120">
        <f>Capability!$F$5+3*Capability!$F$8</f>
        <v/>
      </c>
      <c r="E120">
        <f>Capability!$F$5-3*Capability!$F$8</f>
        <v/>
      </c>
      <c r="F120">
        <f>IF(ISNUMBER(Capability!C125),Capability!C125,NA())</f>
        <v/>
      </c>
      <c r="G120">
        <f>Capability!$F$7</f>
        <v/>
      </c>
      <c r="H120">
        <f>(1+3*0.8525/1.128379)*Capability!$F$7</f>
        <v/>
      </c>
      <c r="I120">
        <f>IF(ISNUMBER(B120),IF(OR(B120&gt;D120,B120&lt;E120),"OUT",""),"")</f>
        <v/>
      </c>
    </row>
    <row r="121">
      <c r="A121" t="n">
        <v>117</v>
      </c>
      <c r="B121">
        <f>IF(ISNUMBER(Capability!B126),Capability!B126,NA())</f>
        <v/>
      </c>
      <c r="C121">
        <f>Capability!$F$5</f>
        <v/>
      </c>
      <c r="D121">
        <f>Capability!$F$5+3*Capability!$F$8</f>
        <v/>
      </c>
      <c r="E121">
        <f>Capability!$F$5-3*Capability!$F$8</f>
        <v/>
      </c>
      <c r="F121">
        <f>IF(ISNUMBER(Capability!C126),Capability!C126,NA())</f>
        <v/>
      </c>
      <c r="G121">
        <f>Capability!$F$7</f>
        <v/>
      </c>
      <c r="H121">
        <f>(1+3*0.8525/1.128379)*Capability!$F$7</f>
        <v/>
      </c>
      <c r="I121">
        <f>IF(ISNUMBER(B121),IF(OR(B121&gt;D121,B121&lt;E121),"OUT",""),"")</f>
        <v/>
      </c>
    </row>
    <row r="122">
      <c r="A122" t="n">
        <v>118</v>
      </c>
      <c r="B122">
        <f>IF(ISNUMBER(Capability!B127),Capability!B127,NA())</f>
        <v/>
      </c>
      <c r="C122">
        <f>Capability!$F$5</f>
        <v/>
      </c>
      <c r="D122">
        <f>Capability!$F$5+3*Capability!$F$8</f>
        <v/>
      </c>
      <c r="E122">
        <f>Capability!$F$5-3*Capability!$F$8</f>
        <v/>
      </c>
      <c r="F122">
        <f>IF(ISNUMBER(Capability!C127),Capability!C127,NA())</f>
        <v/>
      </c>
      <c r="G122">
        <f>Capability!$F$7</f>
        <v/>
      </c>
      <c r="H122">
        <f>(1+3*0.8525/1.128379)*Capability!$F$7</f>
        <v/>
      </c>
      <c r="I122">
        <f>IF(ISNUMBER(B122),IF(OR(B122&gt;D122,B122&lt;E122),"OUT",""),"")</f>
        <v/>
      </c>
    </row>
    <row r="123">
      <c r="A123" t="n">
        <v>119</v>
      </c>
      <c r="B123">
        <f>IF(ISNUMBER(Capability!B128),Capability!B128,NA())</f>
        <v/>
      </c>
      <c r="C123">
        <f>Capability!$F$5</f>
        <v/>
      </c>
      <c r="D123">
        <f>Capability!$F$5+3*Capability!$F$8</f>
        <v/>
      </c>
      <c r="E123">
        <f>Capability!$F$5-3*Capability!$F$8</f>
        <v/>
      </c>
      <c r="F123">
        <f>IF(ISNUMBER(Capability!C128),Capability!C128,NA())</f>
        <v/>
      </c>
      <c r="G123">
        <f>Capability!$F$7</f>
        <v/>
      </c>
      <c r="H123">
        <f>(1+3*0.8525/1.128379)*Capability!$F$7</f>
        <v/>
      </c>
      <c r="I123">
        <f>IF(ISNUMBER(B123),IF(OR(B123&gt;D123,B123&lt;E123),"OUT",""),"")</f>
        <v/>
      </c>
    </row>
    <row r="124">
      <c r="A124" t="n">
        <v>120</v>
      </c>
      <c r="B124">
        <f>IF(ISNUMBER(Capability!B129),Capability!B129,NA())</f>
        <v/>
      </c>
      <c r="C124">
        <f>Capability!$F$5</f>
        <v/>
      </c>
      <c r="D124">
        <f>Capability!$F$5+3*Capability!$F$8</f>
        <v/>
      </c>
      <c r="E124">
        <f>Capability!$F$5-3*Capability!$F$8</f>
        <v/>
      </c>
      <c r="F124">
        <f>IF(ISNUMBER(Capability!C129),Capability!C129,NA())</f>
        <v/>
      </c>
      <c r="G124">
        <f>Capability!$F$7</f>
        <v/>
      </c>
      <c r="H124">
        <f>(1+3*0.8525/1.128379)*Capability!$F$7</f>
        <v/>
      </c>
      <c r="I124">
        <f>IF(ISNUMBER(B124),IF(OR(B124&gt;D124,B124&lt;E124),"OUT",""),"")</f>
        <v/>
      </c>
    </row>
    <row r="125">
      <c r="A125" t="n">
        <v>121</v>
      </c>
      <c r="B125">
        <f>IF(ISNUMBER(Capability!B130),Capability!B130,NA())</f>
        <v/>
      </c>
      <c r="C125">
        <f>Capability!$F$5</f>
        <v/>
      </c>
      <c r="D125">
        <f>Capability!$F$5+3*Capability!$F$8</f>
        <v/>
      </c>
      <c r="E125">
        <f>Capability!$F$5-3*Capability!$F$8</f>
        <v/>
      </c>
      <c r="F125">
        <f>IF(ISNUMBER(Capability!C130),Capability!C130,NA())</f>
        <v/>
      </c>
      <c r="G125">
        <f>Capability!$F$7</f>
        <v/>
      </c>
      <c r="H125">
        <f>(1+3*0.8525/1.128379)*Capability!$F$7</f>
        <v/>
      </c>
      <c r="I125">
        <f>IF(ISNUMBER(B125),IF(OR(B125&gt;D125,B125&lt;E125),"OUT",""),"")</f>
        <v/>
      </c>
    </row>
    <row r="126">
      <c r="A126" t="n">
        <v>122</v>
      </c>
      <c r="B126">
        <f>IF(ISNUMBER(Capability!B131),Capability!B131,NA())</f>
        <v/>
      </c>
      <c r="C126">
        <f>Capability!$F$5</f>
        <v/>
      </c>
      <c r="D126">
        <f>Capability!$F$5+3*Capability!$F$8</f>
        <v/>
      </c>
      <c r="E126">
        <f>Capability!$F$5-3*Capability!$F$8</f>
        <v/>
      </c>
      <c r="F126">
        <f>IF(ISNUMBER(Capability!C131),Capability!C131,NA())</f>
        <v/>
      </c>
      <c r="G126">
        <f>Capability!$F$7</f>
        <v/>
      </c>
      <c r="H126">
        <f>(1+3*0.8525/1.128379)*Capability!$F$7</f>
        <v/>
      </c>
      <c r="I126">
        <f>IF(ISNUMBER(B126),IF(OR(B126&gt;D126,B126&lt;E126),"OUT",""),"")</f>
        <v/>
      </c>
    </row>
    <row r="127">
      <c r="A127" t="n">
        <v>123</v>
      </c>
      <c r="B127">
        <f>IF(ISNUMBER(Capability!B132),Capability!B132,NA())</f>
        <v/>
      </c>
      <c r="C127">
        <f>Capability!$F$5</f>
        <v/>
      </c>
      <c r="D127">
        <f>Capability!$F$5+3*Capability!$F$8</f>
        <v/>
      </c>
      <c r="E127">
        <f>Capability!$F$5-3*Capability!$F$8</f>
        <v/>
      </c>
      <c r="F127">
        <f>IF(ISNUMBER(Capability!C132),Capability!C132,NA())</f>
        <v/>
      </c>
      <c r="G127">
        <f>Capability!$F$7</f>
        <v/>
      </c>
      <c r="H127">
        <f>(1+3*0.8525/1.128379)*Capability!$F$7</f>
        <v/>
      </c>
      <c r="I127">
        <f>IF(ISNUMBER(B127),IF(OR(B127&gt;D127,B127&lt;E127),"OUT",""),"")</f>
        <v/>
      </c>
    </row>
    <row r="128">
      <c r="A128" t="n">
        <v>124</v>
      </c>
      <c r="B128">
        <f>IF(ISNUMBER(Capability!B133),Capability!B133,NA())</f>
        <v/>
      </c>
      <c r="C128">
        <f>Capability!$F$5</f>
        <v/>
      </c>
      <c r="D128">
        <f>Capability!$F$5+3*Capability!$F$8</f>
        <v/>
      </c>
      <c r="E128">
        <f>Capability!$F$5-3*Capability!$F$8</f>
        <v/>
      </c>
      <c r="F128">
        <f>IF(ISNUMBER(Capability!C133),Capability!C133,NA())</f>
        <v/>
      </c>
      <c r="G128">
        <f>Capability!$F$7</f>
        <v/>
      </c>
      <c r="H128">
        <f>(1+3*0.8525/1.128379)*Capability!$F$7</f>
        <v/>
      </c>
      <c r="I128">
        <f>IF(ISNUMBER(B128),IF(OR(B128&gt;D128,B128&lt;E128),"OUT",""),"")</f>
        <v/>
      </c>
    </row>
    <row r="129">
      <c r="A129" t="n">
        <v>125</v>
      </c>
      <c r="B129">
        <f>IF(ISNUMBER(Capability!B134),Capability!B134,NA())</f>
        <v/>
      </c>
      <c r="C129">
        <f>Capability!$F$5</f>
        <v/>
      </c>
      <c r="D129">
        <f>Capability!$F$5+3*Capability!$F$8</f>
        <v/>
      </c>
      <c r="E129">
        <f>Capability!$F$5-3*Capability!$F$8</f>
        <v/>
      </c>
      <c r="F129">
        <f>IF(ISNUMBER(Capability!C134),Capability!C134,NA())</f>
        <v/>
      </c>
      <c r="G129">
        <f>Capability!$F$7</f>
        <v/>
      </c>
      <c r="H129">
        <f>(1+3*0.8525/1.128379)*Capability!$F$7</f>
        <v/>
      </c>
      <c r="I129">
        <f>IF(ISNUMBER(B129),IF(OR(B129&gt;D129,B129&lt;E129),"OUT",""),"")</f>
        <v/>
      </c>
    </row>
    <row r="130">
      <c r="A130" t="n">
        <v>126</v>
      </c>
      <c r="B130">
        <f>IF(ISNUMBER(Capability!B135),Capability!B135,NA())</f>
        <v/>
      </c>
      <c r="C130">
        <f>Capability!$F$5</f>
        <v/>
      </c>
      <c r="D130">
        <f>Capability!$F$5+3*Capability!$F$8</f>
        <v/>
      </c>
      <c r="E130">
        <f>Capability!$F$5-3*Capability!$F$8</f>
        <v/>
      </c>
      <c r="F130">
        <f>IF(ISNUMBER(Capability!C135),Capability!C135,NA())</f>
        <v/>
      </c>
      <c r="G130">
        <f>Capability!$F$7</f>
        <v/>
      </c>
      <c r="H130">
        <f>(1+3*0.8525/1.128379)*Capability!$F$7</f>
        <v/>
      </c>
      <c r="I130">
        <f>IF(ISNUMBER(B130),IF(OR(B130&gt;D130,B130&lt;E130),"OUT",""),"")</f>
        <v/>
      </c>
    </row>
    <row r="131">
      <c r="A131" t="n">
        <v>127</v>
      </c>
      <c r="B131">
        <f>IF(ISNUMBER(Capability!B136),Capability!B136,NA())</f>
        <v/>
      </c>
      <c r="C131">
        <f>Capability!$F$5</f>
        <v/>
      </c>
      <c r="D131">
        <f>Capability!$F$5+3*Capability!$F$8</f>
        <v/>
      </c>
      <c r="E131">
        <f>Capability!$F$5-3*Capability!$F$8</f>
        <v/>
      </c>
      <c r="F131">
        <f>IF(ISNUMBER(Capability!C136),Capability!C136,NA())</f>
        <v/>
      </c>
      <c r="G131">
        <f>Capability!$F$7</f>
        <v/>
      </c>
      <c r="H131">
        <f>(1+3*0.8525/1.128379)*Capability!$F$7</f>
        <v/>
      </c>
      <c r="I131">
        <f>IF(ISNUMBER(B131),IF(OR(B131&gt;D131,B131&lt;E131),"OUT",""),"")</f>
        <v/>
      </c>
    </row>
    <row r="132">
      <c r="A132" t="n">
        <v>128</v>
      </c>
      <c r="B132">
        <f>IF(ISNUMBER(Capability!B137),Capability!B137,NA())</f>
        <v/>
      </c>
      <c r="C132">
        <f>Capability!$F$5</f>
        <v/>
      </c>
      <c r="D132">
        <f>Capability!$F$5+3*Capability!$F$8</f>
        <v/>
      </c>
      <c r="E132">
        <f>Capability!$F$5-3*Capability!$F$8</f>
        <v/>
      </c>
      <c r="F132">
        <f>IF(ISNUMBER(Capability!C137),Capability!C137,NA())</f>
        <v/>
      </c>
      <c r="G132">
        <f>Capability!$F$7</f>
        <v/>
      </c>
      <c r="H132">
        <f>(1+3*0.8525/1.128379)*Capability!$F$7</f>
        <v/>
      </c>
      <c r="I132">
        <f>IF(ISNUMBER(B132),IF(OR(B132&gt;D132,B132&lt;E132),"OUT",""),"")</f>
        <v/>
      </c>
    </row>
    <row r="133">
      <c r="A133" t="n">
        <v>129</v>
      </c>
      <c r="B133">
        <f>IF(ISNUMBER(Capability!B138),Capability!B138,NA())</f>
        <v/>
      </c>
      <c r="C133">
        <f>Capability!$F$5</f>
        <v/>
      </c>
      <c r="D133">
        <f>Capability!$F$5+3*Capability!$F$8</f>
        <v/>
      </c>
      <c r="E133">
        <f>Capability!$F$5-3*Capability!$F$8</f>
        <v/>
      </c>
      <c r="F133">
        <f>IF(ISNUMBER(Capability!C138),Capability!C138,NA())</f>
        <v/>
      </c>
      <c r="G133">
        <f>Capability!$F$7</f>
        <v/>
      </c>
      <c r="H133">
        <f>(1+3*0.8525/1.128379)*Capability!$F$7</f>
        <v/>
      </c>
      <c r="I133">
        <f>IF(ISNUMBER(B133),IF(OR(B133&gt;D133,B133&lt;E133),"OUT",""),"")</f>
        <v/>
      </c>
    </row>
    <row r="134">
      <c r="A134" t="n">
        <v>130</v>
      </c>
      <c r="B134">
        <f>IF(ISNUMBER(Capability!B139),Capability!B139,NA())</f>
        <v/>
      </c>
      <c r="C134">
        <f>Capability!$F$5</f>
        <v/>
      </c>
      <c r="D134">
        <f>Capability!$F$5+3*Capability!$F$8</f>
        <v/>
      </c>
      <c r="E134">
        <f>Capability!$F$5-3*Capability!$F$8</f>
        <v/>
      </c>
      <c r="F134">
        <f>IF(ISNUMBER(Capability!C139),Capability!C139,NA())</f>
        <v/>
      </c>
      <c r="G134">
        <f>Capability!$F$7</f>
        <v/>
      </c>
      <c r="H134">
        <f>(1+3*0.8525/1.128379)*Capability!$F$7</f>
        <v/>
      </c>
      <c r="I134">
        <f>IF(ISNUMBER(B134),IF(OR(B134&gt;D134,B134&lt;E134),"OUT",""),"")</f>
        <v/>
      </c>
    </row>
    <row r="135">
      <c r="A135" t="n">
        <v>131</v>
      </c>
      <c r="B135">
        <f>IF(ISNUMBER(Capability!B140),Capability!B140,NA())</f>
        <v/>
      </c>
      <c r="C135">
        <f>Capability!$F$5</f>
        <v/>
      </c>
      <c r="D135">
        <f>Capability!$F$5+3*Capability!$F$8</f>
        <v/>
      </c>
      <c r="E135">
        <f>Capability!$F$5-3*Capability!$F$8</f>
        <v/>
      </c>
      <c r="F135">
        <f>IF(ISNUMBER(Capability!C140),Capability!C140,NA())</f>
        <v/>
      </c>
      <c r="G135">
        <f>Capability!$F$7</f>
        <v/>
      </c>
      <c r="H135">
        <f>(1+3*0.8525/1.128379)*Capability!$F$7</f>
        <v/>
      </c>
      <c r="I135">
        <f>IF(ISNUMBER(B135),IF(OR(B135&gt;D135,B135&lt;E135),"OUT",""),"")</f>
        <v/>
      </c>
    </row>
    <row r="136">
      <c r="A136" t="n">
        <v>132</v>
      </c>
      <c r="B136">
        <f>IF(ISNUMBER(Capability!B141),Capability!B141,NA())</f>
        <v/>
      </c>
      <c r="C136">
        <f>Capability!$F$5</f>
        <v/>
      </c>
      <c r="D136">
        <f>Capability!$F$5+3*Capability!$F$8</f>
        <v/>
      </c>
      <c r="E136">
        <f>Capability!$F$5-3*Capability!$F$8</f>
        <v/>
      </c>
      <c r="F136">
        <f>IF(ISNUMBER(Capability!C141),Capability!C141,NA())</f>
        <v/>
      </c>
      <c r="G136">
        <f>Capability!$F$7</f>
        <v/>
      </c>
      <c r="H136">
        <f>(1+3*0.8525/1.128379)*Capability!$F$7</f>
        <v/>
      </c>
      <c r="I136">
        <f>IF(ISNUMBER(B136),IF(OR(B136&gt;D136,B136&lt;E136),"OUT",""),"")</f>
        <v/>
      </c>
    </row>
    <row r="137">
      <c r="A137" t="n">
        <v>133</v>
      </c>
      <c r="B137">
        <f>IF(ISNUMBER(Capability!B142),Capability!B142,NA())</f>
        <v/>
      </c>
      <c r="C137">
        <f>Capability!$F$5</f>
        <v/>
      </c>
      <c r="D137">
        <f>Capability!$F$5+3*Capability!$F$8</f>
        <v/>
      </c>
      <c r="E137">
        <f>Capability!$F$5-3*Capability!$F$8</f>
        <v/>
      </c>
      <c r="F137">
        <f>IF(ISNUMBER(Capability!C142),Capability!C142,NA())</f>
        <v/>
      </c>
      <c r="G137">
        <f>Capability!$F$7</f>
        <v/>
      </c>
      <c r="H137">
        <f>(1+3*0.8525/1.128379)*Capability!$F$7</f>
        <v/>
      </c>
      <c r="I137">
        <f>IF(ISNUMBER(B137),IF(OR(B137&gt;D137,B137&lt;E137),"OUT",""),"")</f>
        <v/>
      </c>
    </row>
    <row r="138">
      <c r="A138" t="n">
        <v>134</v>
      </c>
      <c r="B138">
        <f>IF(ISNUMBER(Capability!B143),Capability!B143,NA())</f>
        <v/>
      </c>
      <c r="C138">
        <f>Capability!$F$5</f>
        <v/>
      </c>
      <c r="D138">
        <f>Capability!$F$5+3*Capability!$F$8</f>
        <v/>
      </c>
      <c r="E138">
        <f>Capability!$F$5-3*Capability!$F$8</f>
        <v/>
      </c>
      <c r="F138">
        <f>IF(ISNUMBER(Capability!C143),Capability!C143,NA())</f>
        <v/>
      </c>
      <c r="G138">
        <f>Capability!$F$7</f>
        <v/>
      </c>
      <c r="H138">
        <f>(1+3*0.8525/1.128379)*Capability!$F$7</f>
        <v/>
      </c>
      <c r="I138">
        <f>IF(ISNUMBER(B138),IF(OR(B138&gt;D138,B138&lt;E138),"OUT",""),"")</f>
        <v/>
      </c>
    </row>
    <row r="139">
      <c r="A139" t="n">
        <v>135</v>
      </c>
      <c r="B139">
        <f>IF(ISNUMBER(Capability!B144),Capability!B144,NA())</f>
        <v/>
      </c>
      <c r="C139">
        <f>Capability!$F$5</f>
        <v/>
      </c>
      <c r="D139">
        <f>Capability!$F$5+3*Capability!$F$8</f>
        <v/>
      </c>
      <c r="E139">
        <f>Capability!$F$5-3*Capability!$F$8</f>
        <v/>
      </c>
      <c r="F139">
        <f>IF(ISNUMBER(Capability!C144),Capability!C144,NA())</f>
        <v/>
      </c>
      <c r="G139">
        <f>Capability!$F$7</f>
        <v/>
      </c>
      <c r="H139">
        <f>(1+3*0.8525/1.128379)*Capability!$F$7</f>
        <v/>
      </c>
      <c r="I139">
        <f>IF(ISNUMBER(B139),IF(OR(B139&gt;D139,B139&lt;E139),"OUT",""),"")</f>
        <v/>
      </c>
    </row>
    <row r="140">
      <c r="A140" t="n">
        <v>136</v>
      </c>
      <c r="B140">
        <f>IF(ISNUMBER(Capability!B145),Capability!B145,NA())</f>
        <v/>
      </c>
      <c r="C140">
        <f>Capability!$F$5</f>
        <v/>
      </c>
      <c r="D140">
        <f>Capability!$F$5+3*Capability!$F$8</f>
        <v/>
      </c>
      <c r="E140">
        <f>Capability!$F$5-3*Capability!$F$8</f>
        <v/>
      </c>
      <c r="F140">
        <f>IF(ISNUMBER(Capability!C145),Capability!C145,NA())</f>
        <v/>
      </c>
      <c r="G140">
        <f>Capability!$F$7</f>
        <v/>
      </c>
      <c r="H140">
        <f>(1+3*0.8525/1.128379)*Capability!$F$7</f>
        <v/>
      </c>
      <c r="I140">
        <f>IF(ISNUMBER(B140),IF(OR(B140&gt;D140,B140&lt;E140),"OUT",""),"")</f>
        <v/>
      </c>
    </row>
    <row r="141">
      <c r="A141" t="n">
        <v>137</v>
      </c>
      <c r="B141">
        <f>IF(ISNUMBER(Capability!B146),Capability!B146,NA())</f>
        <v/>
      </c>
      <c r="C141">
        <f>Capability!$F$5</f>
        <v/>
      </c>
      <c r="D141">
        <f>Capability!$F$5+3*Capability!$F$8</f>
        <v/>
      </c>
      <c r="E141">
        <f>Capability!$F$5-3*Capability!$F$8</f>
        <v/>
      </c>
      <c r="F141">
        <f>IF(ISNUMBER(Capability!C146),Capability!C146,NA())</f>
        <v/>
      </c>
      <c r="G141">
        <f>Capability!$F$7</f>
        <v/>
      </c>
      <c r="H141">
        <f>(1+3*0.8525/1.128379)*Capability!$F$7</f>
        <v/>
      </c>
      <c r="I141">
        <f>IF(ISNUMBER(B141),IF(OR(B141&gt;D141,B141&lt;E141),"OUT",""),"")</f>
        <v/>
      </c>
    </row>
    <row r="142">
      <c r="A142" t="n">
        <v>138</v>
      </c>
      <c r="B142">
        <f>IF(ISNUMBER(Capability!B147),Capability!B147,NA())</f>
        <v/>
      </c>
      <c r="C142">
        <f>Capability!$F$5</f>
        <v/>
      </c>
      <c r="D142">
        <f>Capability!$F$5+3*Capability!$F$8</f>
        <v/>
      </c>
      <c r="E142">
        <f>Capability!$F$5-3*Capability!$F$8</f>
        <v/>
      </c>
      <c r="F142">
        <f>IF(ISNUMBER(Capability!C147),Capability!C147,NA())</f>
        <v/>
      </c>
      <c r="G142">
        <f>Capability!$F$7</f>
        <v/>
      </c>
      <c r="H142">
        <f>(1+3*0.8525/1.128379)*Capability!$F$7</f>
        <v/>
      </c>
      <c r="I142">
        <f>IF(ISNUMBER(B142),IF(OR(B142&gt;D142,B142&lt;E142),"OUT",""),"")</f>
        <v/>
      </c>
    </row>
    <row r="143">
      <c r="A143" t="n">
        <v>139</v>
      </c>
      <c r="B143">
        <f>IF(ISNUMBER(Capability!B148),Capability!B148,NA())</f>
        <v/>
      </c>
      <c r="C143">
        <f>Capability!$F$5</f>
        <v/>
      </c>
      <c r="D143">
        <f>Capability!$F$5+3*Capability!$F$8</f>
        <v/>
      </c>
      <c r="E143">
        <f>Capability!$F$5-3*Capability!$F$8</f>
        <v/>
      </c>
      <c r="F143">
        <f>IF(ISNUMBER(Capability!C148),Capability!C148,NA())</f>
        <v/>
      </c>
      <c r="G143">
        <f>Capability!$F$7</f>
        <v/>
      </c>
      <c r="H143">
        <f>(1+3*0.8525/1.128379)*Capability!$F$7</f>
        <v/>
      </c>
      <c r="I143">
        <f>IF(ISNUMBER(B143),IF(OR(B143&gt;D143,B143&lt;E143),"OUT",""),"")</f>
        <v/>
      </c>
    </row>
    <row r="144">
      <c r="A144" t="n">
        <v>140</v>
      </c>
      <c r="B144">
        <f>IF(ISNUMBER(Capability!B149),Capability!B149,NA())</f>
        <v/>
      </c>
      <c r="C144">
        <f>Capability!$F$5</f>
        <v/>
      </c>
      <c r="D144">
        <f>Capability!$F$5+3*Capability!$F$8</f>
        <v/>
      </c>
      <c r="E144">
        <f>Capability!$F$5-3*Capability!$F$8</f>
        <v/>
      </c>
      <c r="F144">
        <f>IF(ISNUMBER(Capability!C149),Capability!C149,NA())</f>
        <v/>
      </c>
      <c r="G144">
        <f>Capability!$F$7</f>
        <v/>
      </c>
      <c r="H144">
        <f>(1+3*0.8525/1.128379)*Capability!$F$7</f>
        <v/>
      </c>
      <c r="I144">
        <f>IF(ISNUMBER(B144),IF(OR(B144&gt;D144,B144&lt;E144),"OUT",""),"")</f>
        <v/>
      </c>
    </row>
    <row r="145">
      <c r="A145" t="n">
        <v>141</v>
      </c>
      <c r="B145">
        <f>IF(ISNUMBER(Capability!B150),Capability!B150,NA())</f>
        <v/>
      </c>
      <c r="C145">
        <f>Capability!$F$5</f>
        <v/>
      </c>
      <c r="D145">
        <f>Capability!$F$5+3*Capability!$F$8</f>
        <v/>
      </c>
      <c r="E145">
        <f>Capability!$F$5-3*Capability!$F$8</f>
        <v/>
      </c>
      <c r="F145">
        <f>IF(ISNUMBER(Capability!C150),Capability!C150,NA())</f>
        <v/>
      </c>
      <c r="G145">
        <f>Capability!$F$7</f>
        <v/>
      </c>
      <c r="H145">
        <f>(1+3*0.8525/1.128379)*Capability!$F$7</f>
        <v/>
      </c>
      <c r="I145">
        <f>IF(ISNUMBER(B145),IF(OR(B145&gt;D145,B145&lt;E145),"OUT",""),"")</f>
        <v/>
      </c>
    </row>
    <row r="146">
      <c r="A146" t="n">
        <v>142</v>
      </c>
      <c r="B146">
        <f>IF(ISNUMBER(Capability!B151),Capability!B151,NA())</f>
        <v/>
      </c>
      <c r="C146">
        <f>Capability!$F$5</f>
        <v/>
      </c>
      <c r="D146">
        <f>Capability!$F$5+3*Capability!$F$8</f>
        <v/>
      </c>
      <c r="E146">
        <f>Capability!$F$5-3*Capability!$F$8</f>
        <v/>
      </c>
      <c r="F146">
        <f>IF(ISNUMBER(Capability!C151),Capability!C151,NA())</f>
        <v/>
      </c>
      <c r="G146">
        <f>Capability!$F$7</f>
        <v/>
      </c>
      <c r="H146">
        <f>(1+3*0.8525/1.128379)*Capability!$F$7</f>
        <v/>
      </c>
      <c r="I146">
        <f>IF(ISNUMBER(B146),IF(OR(B146&gt;D146,B146&lt;E146),"OUT",""),"")</f>
        <v/>
      </c>
    </row>
    <row r="147">
      <c r="A147" t="n">
        <v>143</v>
      </c>
      <c r="B147">
        <f>IF(ISNUMBER(Capability!B152),Capability!B152,NA())</f>
        <v/>
      </c>
      <c r="C147">
        <f>Capability!$F$5</f>
        <v/>
      </c>
      <c r="D147">
        <f>Capability!$F$5+3*Capability!$F$8</f>
        <v/>
      </c>
      <c r="E147">
        <f>Capability!$F$5-3*Capability!$F$8</f>
        <v/>
      </c>
      <c r="F147">
        <f>IF(ISNUMBER(Capability!C152),Capability!C152,NA())</f>
        <v/>
      </c>
      <c r="G147">
        <f>Capability!$F$7</f>
        <v/>
      </c>
      <c r="H147">
        <f>(1+3*0.8525/1.128379)*Capability!$F$7</f>
        <v/>
      </c>
      <c r="I147">
        <f>IF(ISNUMBER(B147),IF(OR(B147&gt;D147,B147&lt;E147),"OUT",""),"")</f>
        <v/>
      </c>
    </row>
    <row r="148">
      <c r="A148" t="n">
        <v>144</v>
      </c>
      <c r="B148">
        <f>IF(ISNUMBER(Capability!B153),Capability!B153,NA())</f>
        <v/>
      </c>
      <c r="C148">
        <f>Capability!$F$5</f>
        <v/>
      </c>
      <c r="D148">
        <f>Capability!$F$5+3*Capability!$F$8</f>
        <v/>
      </c>
      <c r="E148">
        <f>Capability!$F$5-3*Capability!$F$8</f>
        <v/>
      </c>
      <c r="F148">
        <f>IF(ISNUMBER(Capability!C153),Capability!C153,NA())</f>
        <v/>
      </c>
      <c r="G148">
        <f>Capability!$F$7</f>
        <v/>
      </c>
      <c r="H148">
        <f>(1+3*0.8525/1.128379)*Capability!$F$7</f>
        <v/>
      </c>
      <c r="I148">
        <f>IF(ISNUMBER(B148),IF(OR(B148&gt;D148,B148&lt;E148),"OUT",""),"")</f>
        <v/>
      </c>
    </row>
    <row r="149">
      <c r="A149" t="n">
        <v>145</v>
      </c>
      <c r="B149">
        <f>IF(ISNUMBER(Capability!B154),Capability!B154,NA())</f>
        <v/>
      </c>
      <c r="C149">
        <f>Capability!$F$5</f>
        <v/>
      </c>
      <c r="D149">
        <f>Capability!$F$5+3*Capability!$F$8</f>
        <v/>
      </c>
      <c r="E149">
        <f>Capability!$F$5-3*Capability!$F$8</f>
        <v/>
      </c>
      <c r="F149">
        <f>IF(ISNUMBER(Capability!C154),Capability!C154,NA())</f>
        <v/>
      </c>
      <c r="G149">
        <f>Capability!$F$7</f>
        <v/>
      </c>
      <c r="H149">
        <f>(1+3*0.8525/1.128379)*Capability!$F$7</f>
        <v/>
      </c>
      <c r="I149">
        <f>IF(ISNUMBER(B149),IF(OR(B149&gt;D149,B149&lt;E149),"OUT",""),"")</f>
        <v/>
      </c>
    </row>
    <row r="150">
      <c r="A150" t="n">
        <v>146</v>
      </c>
      <c r="B150">
        <f>IF(ISNUMBER(Capability!B155),Capability!B155,NA())</f>
        <v/>
      </c>
      <c r="C150">
        <f>Capability!$F$5</f>
        <v/>
      </c>
      <c r="D150">
        <f>Capability!$F$5+3*Capability!$F$8</f>
        <v/>
      </c>
      <c r="E150">
        <f>Capability!$F$5-3*Capability!$F$8</f>
        <v/>
      </c>
      <c r="F150">
        <f>IF(ISNUMBER(Capability!C155),Capability!C155,NA())</f>
        <v/>
      </c>
      <c r="G150">
        <f>Capability!$F$7</f>
        <v/>
      </c>
      <c r="H150">
        <f>(1+3*0.8525/1.128379)*Capability!$F$7</f>
        <v/>
      </c>
      <c r="I150">
        <f>IF(ISNUMBER(B150),IF(OR(B150&gt;D150,B150&lt;E150),"OUT",""),"")</f>
        <v/>
      </c>
    </row>
    <row r="151">
      <c r="A151" t="n">
        <v>147</v>
      </c>
      <c r="B151">
        <f>IF(ISNUMBER(Capability!B156),Capability!B156,NA())</f>
        <v/>
      </c>
      <c r="C151">
        <f>Capability!$F$5</f>
        <v/>
      </c>
      <c r="D151">
        <f>Capability!$F$5+3*Capability!$F$8</f>
        <v/>
      </c>
      <c r="E151">
        <f>Capability!$F$5-3*Capability!$F$8</f>
        <v/>
      </c>
      <c r="F151">
        <f>IF(ISNUMBER(Capability!C156),Capability!C156,NA())</f>
        <v/>
      </c>
      <c r="G151">
        <f>Capability!$F$7</f>
        <v/>
      </c>
      <c r="H151">
        <f>(1+3*0.8525/1.128379)*Capability!$F$7</f>
        <v/>
      </c>
      <c r="I151">
        <f>IF(ISNUMBER(B151),IF(OR(B151&gt;D151,B151&lt;E151),"OUT",""),"")</f>
        <v/>
      </c>
    </row>
    <row r="152">
      <c r="A152" t="n">
        <v>148</v>
      </c>
      <c r="B152">
        <f>IF(ISNUMBER(Capability!B157),Capability!B157,NA())</f>
        <v/>
      </c>
      <c r="C152">
        <f>Capability!$F$5</f>
        <v/>
      </c>
      <c r="D152">
        <f>Capability!$F$5+3*Capability!$F$8</f>
        <v/>
      </c>
      <c r="E152">
        <f>Capability!$F$5-3*Capability!$F$8</f>
        <v/>
      </c>
      <c r="F152">
        <f>IF(ISNUMBER(Capability!C157),Capability!C157,NA())</f>
        <v/>
      </c>
      <c r="G152">
        <f>Capability!$F$7</f>
        <v/>
      </c>
      <c r="H152">
        <f>(1+3*0.8525/1.128379)*Capability!$F$7</f>
        <v/>
      </c>
      <c r="I152">
        <f>IF(ISNUMBER(B152),IF(OR(B152&gt;D152,B152&lt;E152),"OUT",""),"")</f>
        <v/>
      </c>
    </row>
    <row r="153">
      <c r="A153" t="n">
        <v>149</v>
      </c>
      <c r="B153">
        <f>IF(ISNUMBER(Capability!B158),Capability!B158,NA())</f>
        <v/>
      </c>
      <c r="C153">
        <f>Capability!$F$5</f>
        <v/>
      </c>
      <c r="D153">
        <f>Capability!$F$5+3*Capability!$F$8</f>
        <v/>
      </c>
      <c r="E153">
        <f>Capability!$F$5-3*Capability!$F$8</f>
        <v/>
      </c>
      <c r="F153">
        <f>IF(ISNUMBER(Capability!C158),Capability!C158,NA())</f>
        <v/>
      </c>
      <c r="G153">
        <f>Capability!$F$7</f>
        <v/>
      </c>
      <c r="H153">
        <f>(1+3*0.8525/1.128379)*Capability!$F$7</f>
        <v/>
      </c>
      <c r="I153">
        <f>IF(ISNUMBER(B153),IF(OR(B153&gt;D153,B153&lt;E153),"OUT",""),"")</f>
        <v/>
      </c>
    </row>
    <row r="154">
      <c r="A154" t="n">
        <v>150</v>
      </c>
      <c r="B154">
        <f>IF(ISNUMBER(Capability!B159),Capability!B159,NA())</f>
        <v/>
      </c>
      <c r="C154">
        <f>Capability!$F$5</f>
        <v/>
      </c>
      <c r="D154">
        <f>Capability!$F$5+3*Capability!$F$8</f>
        <v/>
      </c>
      <c r="E154">
        <f>Capability!$F$5-3*Capability!$F$8</f>
        <v/>
      </c>
      <c r="F154">
        <f>IF(ISNUMBER(Capability!C159),Capability!C159,NA())</f>
        <v/>
      </c>
      <c r="G154">
        <f>Capability!$F$7</f>
        <v/>
      </c>
      <c r="H154">
        <f>(1+3*0.8525/1.128379)*Capability!$F$7</f>
        <v/>
      </c>
      <c r="I154">
        <f>IF(ISNUMBER(B154),IF(OR(B154&gt;D154,B154&lt;E154),"OUT",""),"")</f>
        <v/>
      </c>
    </row>
    <row r="155">
      <c r="A155" t="n">
        <v>151</v>
      </c>
      <c r="B155">
        <f>IF(ISNUMBER(Capability!B160),Capability!B160,NA())</f>
        <v/>
      </c>
      <c r="C155">
        <f>Capability!$F$5</f>
        <v/>
      </c>
      <c r="D155">
        <f>Capability!$F$5+3*Capability!$F$8</f>
        <v/>
      </c>
      <c r="E155">
        <f>Capability!$F$5-3*Capability!$F$8</f>
        <v/>
      </c>
      <c r="F155">
        <f>IF(ISNUMBER(Capability!C160),Capability!C160,NA())</f>
        <v/>
      </c>
      <c r="G155">
        <f>Capability!$F$7</f>
        <v/>
      </c>
      <c r="H155">
        <f>(1+3*0.8525/1.128379)*Capability!$F$7</f>
        <v/>
      </c>
      <c r="I155">
        <f>IF(ISNUMBER(B155),IF(OR(B155&gt;D155,B155&lt;E155),"OUT",""),"")</f>
        <v/>
      </c>
    </row>
    <row r="156">
      <c r="A156" t="n">
        <v>152</v>
      </c>
      <c r="B156">
        <f>IF(ISNUMBER(Capability!B161),Capability!B161,NA())</f>
        <v/>
      </c>
      <c r="C156">
        <f>Capability!$F$5</f>
        <v/>
      </c>
      <c r="D156">
        <f>Capability!$F$5+3*Capability!$F$8</f>
        <v/>
      </c>
      <c r="E156">
        <f>Capability!$F$5-3*Capability!$F$8</f>
        <v/>
      </c>
      <c r="F156">
        <f>IF(ISNUMBER(Capability!C161),Capability!C161,NA())</f>
        <v/>
      </c>
      <c r="G156">
        <f>Capability!$F$7</f>
        <v/>
      </c>
      <c r="H156">
        <f>(1+3*0.8525/1.128379)*Capability!$F$7</f>
        <v/>
      </c>
      <c r="I156">
        <f>IF(ISNUMBER(B156),IF(OR(B156&gt;D156,B156&lt;E156),"OUT",""),"")</f>
        <v/>
      </c>
    </row>
    <row r="157">
      <c r="A157" t="n">
        <v>153</v>
      </c>
      <c r="B157">
        <f>IF(ISNUMBER(Capability!B162),Capability!B162,NA())</f>
        <v/>
      </c>
      <c r="C157">
        <f>Capability!$F$5</f>
        <v/>
      </c>
      <c r="D157">
        <f>Capability!$F$5+3*Capability!$F$8</f>
        <v/>
      </c>
      <c r="E157">
        <f>Capability!$F$5-3*Capability!$F$8</f>
        <v/>
      </c>
      <c r="F157">
        <f>IF(ISNUMBER(Capability!C162),Capability!C162,NA())</f>
        <v/>
      </c>
      <c r="G157">
        <f>Capability!$F$7</f>
        <v/>
      </c>
      <c r="H157">
        <f>(1+3*0.8525/1.128379)*Capability!$F$7</f>
        <v/>
      </c>
      <c r="I157">
        <f>IF(ISNUMBER(B157),IF(OR(B157&gt;D157,B157&lt;E157),"OUT",""),"")</f>
        <v/>
      </c>
    </row>
    <row r="158">
      <c r="A158" t="n">
        <v>154</v>
      </c>
      <c r="B158">
        <f>IF(ISNUMBER(Capability!B163),Capability!B163,NA())</f>
        <v/>
      </c>
      <c r="C158">
        <f>Capability!$F$5</f>
        <v/>
      </c>
      <c r="D158">
        <f>Capability!$F$5+3*Capability!$F$8</f>
        <v/>
      </c>
      <c r="E158">
        <f>Capability!$F$5-3*Capability!$F$8</f>
        <v/>
      </c>
      <c r="F158">
        <f>IF(ISNUMBER(Capability!C163),Capability!C163,NA())</f>
        <v/>
      </c>
      <c r="G158">
        <f>Capability!$F$7</f>
        <v/>
      </c>
      <c r="H158">
        <f>(1+3*0.8525/1.128379)*Capability!$F$7</f>
        <v/>
      </c>
      <c r="I158">
        <f>IF(ISNUMBER(B158),IF(OR(B158&gt;D158,B158&lt;E158),"OUT",""),"")</f>
        <v/>
      </c>
    </row>
    <row r="159">
      <c r="A159" t="n">
        <v>155</v>
      </c>
      <c r="B159">
        <f>IF(ISNUMBER(Capability!B164),Capability!B164,NA())</f>
        <v/>
      </c>
      <c r="C159">
        <f>Capability!$F$5</f>
        <v/>
      </c>
      <c r="D159">
        <f>Capability!$F$5+3*Capability!$F$8</f>
        <v/>
      </c>
      <c r="E159">
        <f>Capability!$F$5-3*Capability!$F$8</f>
        <v/>
      </c>
      <c r="F159">
        <f>IF(ISNUMBER(Capability!C164),Capability!C164,NA())</f>
        <v/>
      </c>
      <c r="G159">
        <f>Capability!$F$7</f>
        <v/>
      </c>
      <c r="H159">
        <f>(1+3*0.8525/1.128379)*Capability!$F$7</f>
        <v/>
      </c>
      <c r="I159">
        <f>IF(ISNUMBER(B159),IF(OR(B159&gt;D159,B159&lt;E159),"OUT",""),"")</f>
        <v/>
      </c>
    </row>
    <row r="160">
      <c r="A160" t="n">
        <v>156</v>
      </c>
      <c r="B160">
        <f>IF(ISNUMBER(Capability!B165),Capability!B165,NA())</f>
        <v/>
      </c>
      <c r="C160">
        <f>Capability!$F$5</f>
        <v/>
      </c>
      <c r="D160">
        <f>Capability!$F$5+3*Capability!$F$8</f>
        <v/>
      </c>
      <c r="E160">
        <f>Capability!$F$5-3*Capability!$F$8</f>
        <v/>
      </c>
      <c r="F160">
        <f>IF(ISNUMBER(Capability!C165),Capability!C165,NA())</f>
        <v/>
      </c>
      <c r="G160">
        <f>Capability!$F$7</f>
        <v/>
      </c>
      <c r="H160">
        <f>(1+3*0.8525/1.128379)*Capability!$F$7</f>
        <v/>
      </c>
      <c r="I160">
        <f>IF(ISNUMBER(B160),IF(OR(B160&gt;D160,B160&lt;E160),"OUT",""),"")</f>
        <v/>
      </c>
    </row>
    <row r="161">
      <c r="A161" t="n">
        <v>157</v>
      </c>
      <c r="B161">
        <f>IF(ISNUMBER(Capability!B166),Capability!B166,NA())</f>
        <v/>
      </c>
      <c r="C161">
        <f>Capability!$F$5</f>
        <v/>
      </c>
      <c r="D161">
        <f>Capability!$F$5+3*Capability!$F$8</f>
        <v/>
      </c>
      <c r="E161">
        <f>Capability!$F$5-3*Capability!$F$8</f>
        <v/>
      </c>
      <c r="F161">
        <f>IF(ISNUMBER(Capability!C166),Capability!C166,NA())</f>
        <v/>
      </c>
      <c r="G161">
        <f>Capability!$F$7</f>
        <v/>
      </c>
      <c r="H161">
        <f>(1+3*0.8525/1.128379)*Capability!$F$7</f>
        <v/>
      </c>
      <c r="I161">
        <f>IF(ISNUMBER(B161),IF(OR(B161&gt;D161,B161&lt;E161),"OUT",""),"")</f>
        <v/>
      </c>
    </row>
    <row r="162">
      <c r="A162" t="n">
        <v>158</v>
      </c>
      <c r="B162">
        <f>IF(ISNUMBER(Capability!B167),Capability!B167,NA())</f>
        <v/>
      </c>
      <c r="C162">
        <f>Capability!$F$5</f>
        <v/>
      </c>
      <c r="D162">
        <f>Capability!$F$5+3*Capability!$F$8</f>
        <v/>
      </c>
      <c r="E162">
        <f>Capability!$F$5-3*Capability!$F$8</f>
        <v/>
      </c>
      <c r="F162">
        <f>IF(ISNUMBER(Capability!C167),Capability!C167,NA())</f>
        <v/>
      </c>
      <c r="G162">
        <f>Capability!$F$7</f>
        <v/>
      </c>
      <c r="H162">
        <f>(1+3*0.8525/1.128379)*Capability!$F$7</f>
        <v/>
      </c>
      <c r="I162">
        <f>IF(ISNUMBER(B162),IF(OR(B162&gt;D162,B162&lt;E162),"OUT",""),"")</f>
        <v/>
      </c>
    </row>
    <row r="163">
      <c r="A163" t="n">
        <v>159</v>
      </c>
      <c r="B163">
        <f>IF(ISNUMBER(Capability!B168),Capability!B168,NA())</f>
        <v/>
      </c>
      <c r="C163">
        <f>Capability!$F$5</f>
        <v/>
      </c>
      <c r="D163">
        <f>Capability!$F$5+3*Capability!$F$8</f>
        <v/>
      </c>
      <c r="E163">
        <f>Capability!$F$5-3*Capability!$F$8</f>
        <v/>
      </c>
      <c r="F163">
        <f>IF(ISNUMBER(Capability!C168),Capability!C168,NA())</f>
        <v/>
      </c>
      <c r="G163">
        <f>Capability!$F$7</f>
        <v/>
      </c>
      <c r="H163">
        <f>(1+3*0.8525/1.128379)*Capability!$F$7</f>
        <v/>
      </c>
      <c r="I163">
        <f>IF(ISNUMBER(B163),IF(OR(B163&gt;D163,B163&lt;E163),"OUT",""),"")</f>
        <v/>
      </c>
    </row>
    <row r="164">
      <c r="A164" t="n">
        <v>160</v>
      </c>
      <c r="B164">
        <f>IF(ISNUMBER(Capability!B169),Capability!B169,NA())</f>
        <v/>
      </c>
      <c r="C164">
        <f>Capability!$F$5</f>
        <v/>
      </c>
      <c r="D164">
        <f>Capability!$F$5+3*Capability!$F$8</f>
        <v/>
      </c>
      <c r="E164">
        <f>Capability!$F$5-3*Capability!$F$8</f>
        <v/>
      </c>
      <c r="F164">
        <f>IF(ISNUMBER(Capability!C169),Capability!C169,NA())</f>
        <v/>
      </c>
      <c r="G164">
        <f>Capability!$F$7</f>
        <v/>
      </c>
      <c r="H164">
        <f>(1+3*0.8525/1.128379)*Capability!$F$7</f>
        <v/>
      </c>
      <c r="I164">
        <f>IF(ISNUMBER(B164),IF(OR(B164&gt;D164,B164&lt;E164),"OUT",""),"")</f>
        <v/>
      </c>
    </row>
    <row r="165">
      <c r="A165" t="n">
        <v>161</v>
      </c>
      <c r="B165">
        <f>IF(ISNUMBER(Capability!B170),Capability!B170,NA())</f>
        <v/>
      </c>
      <c r="C165">
        <f>Capability!$F$5</f>
        <v/>
      </c>
      <c r="D165">
        <f>Capability!$F$5+3*Capability!$F$8</f>
        <v/>
      </c>
      <c r="E165">
        <f>Capability!$F$5-3*Capability!$F$8</f>
        <v/>
      </c>
      <c r="F165">
        <f>IF(ISNUMBER(Capability!C170),Capability!C170,NA())</f>
        <v/>
      </c>
      <c r="G165">
        <f>Capability!$F$7</f>
        <v/>
      </c>
      <c r="H165">
        <f>(1+3*0.8525/1.128379)*Capability!$F$7</f>
        <v/>
      </c>
      <c r="I165">
        <f>IF(ISNUMBER(B165),IF(OR(B165&gt;D165,B165&lt;E165),"OUT",""),"")</f>
        <v/>
      </c>
    </row>
    <row r="166">
      <c r="A166" t="n">
        <v>162</v>
      </c>
      <c r="B166">
        <f>IF(ISNUMBER(Capability!B171),Capability!B171,NA())</f>
        <v/>
      </c>
      <c r="C166">
        <f>Capability!$F$5</f>
        <v/>
      </c>
      <c r="D166">
        <f>Capability!$F$5+3*Capability!$F$8</f>
        <v/>
      </c>
      <c r="E166">
        <f>Capability!$F$5-3*Capability!$F$8</f>
        <v/>
      </c>
      <c r="F166">
        <f>IF(ISNUMBER(Capability!C171),Capability!C171,NA())</f>
        <v/>
      </c>
      <c r="G166">
        <f>Capability!$F$7</f>
        <v/>
      </c>
      <c r="H166">
        <f>(1+3*0.8525/1.128379)*Capability!$F$7</f>
        <v/>
      </c>
      <c r="I166">
        <f>IF(ISNUMBER(B166),IF(OR(B166&gt;D166,B166&lt;E166),"OUT",""),"")</f>
        <v/>
      </c>
    </row>
    <row r="167">
      <c r="A167" t="n">
        <v>163</v>
      </c>
      <c r="B167">
        <f>IF(ISNUMBER(Capability!B172),Capability!B172,NA())</f>
        <v/>
      </c>
      <c r="C167">
        <f>Capability!$F$5</f>
        <v/>
      </c>
      <c r="D167">
        <f>Capability!$F$5+3*Capability!$F$8</f>
        <v/>
      </c>
      <c r="E167">
        <f>Capability!$F$5-3*Capability!$F$8</f>
        <v/>
      </c>
      <c r="F167">
        <f>IF(ISNUMBER(Capability!C172),Capability!C172,NA())</f>
        <v/>
      </c>
      <c r="G167">
        <f>Capability!$F$7</f>
        <v/>
      </c>
      <c r="H167">
        <f>(1+3*0.8525/1.128379)*Capability!$F$7</f>
        <v/>
      </c>
      <c r="I167">
        <f>IF(ISNUMBER(B167),IF(OR(B167&gt;D167,B167&lt;E167),"OUT",""),"")</f>
        <v/>
      </c>
    </row>
    <row r="168">
      <c r="A168" t="n">
        <v>164</v>
      </c>
      <c r="B168">
        <f>IF(ISNUMBER(Capability!B173),Capability!B173,NA())</f>
        <v/>
      </c>
      <c r="C168">
        <f>Capability!$F$5</f>
        <v/>
      </c>
      <c r="D168">
        <f>Capability!$F$5+3*Capability!$F$8</f>
        <v/>
      </c>
      <c r="E168">
        <f>Capability!$F$5-3*Capability!$F$8</f>
        <v/>
      </c>
      <c r="F168">
        <f>IF(ISNUMBER(Capability!C173),Capability!C173,NA())</f>
        <v/>
      </c>
      <c r="G168">
        <f>Capability!$F$7</f>
        <v/>
      </c>
      <c r="H168">
        <f>(1+3*0.8525/1.128379)*Capability!$F$7</f>
        <v/>
      </c>
      <c r="I168">
        <f>IF(ISNUMBER(B168),IF(OR(B168&gt;D168,B168&lt;E168),"OUT",""),"")</f>
        <v/>
      </c>
    </row>
    <row r="169">
      <c r="A169" t="n">
        <v>165</v>
      </c>
      <c r="B169">
        <f>IF(ISNUMBER(Capability!B174),Capability!B174,NA())</f>
        <v/>
      </c>
      <c r="C169">
        <f>Capability!$F$5</f>
        <v/>
      </c>
      <c r="D169">
        <f>Capability!$F$5+3*Capability!$F$8</f>
        <v/>
      </c>
      <c r="E169">
        <f>Capability!$F$5-3*Capability!$F$8</f>
        <v/>
      </c>
      <c r="F169">
        <f>IF(ISNUMBER(Capability!C174),Capability!C174,NA())</f>
        <v/>
      </c>
      <c r="G169">
        <f>Capability!$F$7</f>
        <v/>
      </c>
      <c r="H169">
        <f>(1+3*0.8525/1.128379)*Capability!$F$7</f>
        <v/>
      </c>
      <c r="I169">
        <f>IF(ISNUMBER(B169),IF(OR(B169&gt;D169,B169&lt;E169),"OUT",""),"")</f>
        <v/>
      </c>
    </row>
    <row r="170">
      <c r="A170" t="n">
        <v>166</v>
      </c>
      <c r="B170">
        <f>IF(ISNUMBER(Capability!B175),Capability!B175,NA())</f>
        <v/>
      </c>
      <c r="C170">
        <f>Capability!$F$5</f>
        <v/>
      </c>
      <c r="D170">
        <f>Capability!$F$5+3*Capability!$F$8</f>
        <v/>
      </c>
      <c r="E170">
        <f>Capability!$F$5-3*Capability!$F$8</f>
        <v/>
      </c>
      <c r="F170">
        <f>IF(ISNUMBER(Capability!C175),Capability!C175,NA())</f>
        <v/>
      </c>
      <c r="G170">
        <f>Capability!$F$7</f>
        <v/>
      </c>
      <c r="H170">
        <f>(1+3*0.8525/1.128379)*Capability!$F$7</f>
        <v/>
      </c>
      <c r="I170">
        <f>IF(ISNUMBER(B170),IF(OR(B170&gt;D170,B170&lt;E170),"OUT",""),"")</f>
        <v/>
      </c>
    </row>
    <row r="171">
      <c r="A171" t="n">
        <v>167</v>
      </c>
      <c r="B171">
        <f>IF(ISNUMBER(Capability!B176),Capability!B176,NA())</f>
        <v/>
      </c>
      <c r="C171">
        <f>Capability!$F$5</f>
        <v/>
      </c>
      <c r="D171">
        <f>Capability!$F$5+3*Capability!$F$8</f>
        <v/>
      </c>
      <c r="E171">
        <f>Capability!$F$5-3*Capability!$F$8</f>
        <v/>
      </c>
      <c r="F171">
        <f>IF(ISNUMBER(Capability!C176),Capability!C176,NA())</f>
        <v/>
      </c>
      <c r="G171">
        <f>Capability!$F$7</f>
        <v/>
      </c>
      <c r="H171">
        <f>(1+3*0.8525/1.128379)*Capability!$F$7</f>
        <v/>
      </c>
      <c r="I171">
        <f>IF(ISNUMBER(B171),IF(OR(B171&gt;D171,B171&lt;E171),"OUT",""),"")</f>
        <v/>
      </c>
    </row>
    <row r="172">
      <c r="A172" t="n">
        <v>168</v>
      </c>
      <c r="B172">
        <f>IF(ISNUMBER(Capability!B177),Capability!B177,NA())</f>
        <v/>
      </c>
      <c r="C172">
        <f>Capability!$F$5</f>
        <v/>
      </c>
      <c r="D172">
        <f>Capability!$F$5+3*Capability!$F$8</f>
        <v/>
      </c>
      <c r="E172">
        <f>Capability!$F$5-3*Capability!$F$8</f>
        <v/>
      </c>
      <c r="F172">
        <f>IF(ISNUMBER(Capability!C177),Capability!C177,NA())</f>
        <v/>
      </c>
      <c r="G172">
        <f>Capability!$F$7</f>
        <v/>
      </c>
      <c r="H172">
        <f>(1+3*0.8525/1.128379)*Capability!$F$7</f>
        <v/>
      </c>
      <c r="I172">
        <f>IF(ISNUMBER(B172),IF(OR(B172&gt;D172,B172&lt;E172),"OUT",""),"")</f>
        <v/>
      </c>
    </row>
    <row r="173">
      <c r="A173" t="n">
        <v>169</v>
      </c>
      <c r="B173">
        <f>IF(ISNUMBER(Capability!B178),Capability!B178,NA())</f>
        <v/>
      </c>
      <c r="C173">
        <f>Capability!$F$5</f>
        <v/>
      </c>
      <c r="D173">
        <f>Capability!$F$5+3*Capability!$F$8</f>
        <v/>
      </c>
      <c r="E173">
        <f>Capability!$F$5-3*Capability!$F$8</f>
        <v/>
      </c>
      <c r="F173">
        <f>IF(ISNUMBER(Capability!C178),Capability!C178,NA())</f>
        <v/>
      </c>
      <c r="G173">
        <f>Capability!$F$7</f>
        <v/>
      </c>
      <c r="H173">
        <f>(1+3*0.8525/1.128379)*Capability!$F$7</f>
        <v/>
      </c>
      <c r="I173">
        <f>IF(ISNUMBER(B173),IF(OR(B173&gt;D173,B173&lt;E173),"OUT",""),"")</f>
        <v/>
      </c>
    </row>
    <row r="174">
      <c r="A174" t="n">
        <v>170</v>
      </c>
      <c r="B174">
        <f>IF(ISNUMBER(Capability!B179),Capability!B179,NA())</f>
        <v/>
      </c>
      <c r="C174">
        <f>Capability!$F$5</f>
        <v/>
      </c>
      <c r="D174">
        <f>Capability!$F$5+3*Capability!$F$8</f>
        <v/>
      </c>
      <c r="E174">
        <f>Capability!$F$5-3*Capability!$F$8</f>
        <v/>
      </c>
      <c r="F174">
        <f>IF(ISNUMBER(Capability!C179),Capability!C179,NA())</f>
        <v/>
      </c>
      <c r="G174">
        <f>Capability!$F$7</f>
        <v/>
      </c>
      <c r="H174">
        <f>(1+3*0.8525/1.128379)*Capability!$F$7</f>
        <v/>
      </c>
      <c r="I174">
        <f>IF(ISNUMBER(B174),IF(OR(B174&gt;D174,B174&lt;E174),"OUT",""),"")</f>
        <v/>
      </c>
    </row>
    <row r="175">
      <c r="A175" t="n">
        <v>171</v>
      </c>
      <c r="B175">
        <f>IF(ISNUMBER(Capability!B180),Capability!B180,NA())</f>
        <v/>
      </c>
      <c r="C175">
        <f>Capability!$F$5</f>
        <v/>
      </c>
      <c r="D175">
        <f>Capability!$F$5+3*Capability!$F$8</f>
        <v/>
      </c>
      <c r="E175">
        <f>Capability!$F$5-3*Capability!$F$8</f>
        <v/>
      </c>
      <c r="F175">
        <f>IF(ISNUMBER(Capability!C180),Capability!C180,NA())</f>
        <v/>
      </c>
      <c r="G175">
        <f>Capability!$F$7</f>
        <v/>
      </c>
      <c r="H175">
        <f>(1+3*0.8525/1.128379)*Capability!$F$7</f>
        <v/>
      </c>
      <c r="I175">
        <f>IF(ISNUMBER(B175),IF(OR(B175&gt;D175,B175&lt;E175),"OUT",""),"")</f>
        <v/>
      </c>
    </row>
    <row r="176">
      <c r="A176" t="n">
        <v>172</v>
      </c>
      <c r="B176">
        <f>IF(ISNUMBER(Capability!B181),Capability!B181,NA())</f>
        <v/>
      </c>
      <c r="C176">
        <f>Capability!$F$5</f>
        <v/>
      </c>
      <c r="D176">
        <f>Capability!$F$5+3*Capability!$F$8</f>
        <v/>
      </c>
      <c r="E176">
        <f>Capability!$F$5-3*Capability!$F$8</f>
        <v/>
      </c>
      <c r="F176">
        <f>IF(ISNUMBER(Capability!C181),Capability!C181,NA())</f>
        <v/>
      </c>
      <c r="G176">
        <f>Capability!$F$7</f>
        <v/>
      </c>
      <c r="H176">
        <f>(1+3*0.8525/1.128379)*Capability!$F$7</f>
        <v/>
      </c>
      <c r="I176">
        <f>IF(ISNUMBER(B176),IF(OR(B176&gt;D176,B176&lt;E176),"OUT",""),"")</f>
        <v/>
      </c>
    </row>
    <row r="177">
      <c r="A177" t="n">
        <v>173</v>
      </c>
      <c r="B177">
        <f>IF(ISNUMBER(Capability!B182),Capability!B182,NA())</f>
        <v/>
      </c>
      <c r="C177">
        <f>Capability!$F$5</f>
        <v/>
      </c>
      <c r="D177">
        <f>Capability!$F$5+3*Capability!$F$8</f>
        <v/>
      </c>
      <c r="E177">
        <f>Capability!$F$5-3*Capability!$F$8</f>
        <v/>
      </c>
      <c r="F177">
        <f>IF(ISNUMBER(Capability!C182),Capability!C182,NA())</f>
        <v/>
      </c>
      <c r="G177">
        <f>Capability!$F$7</f>
        <v/>
      </c>
      <c r="H177">
        <f>(1+3*0.8525/1.128379)*Capability!$F$7</f>
        <v/>
      </c>
      <c r="I177">
        <f>IF(ISNUMBER(B177),IF(OR(B177&gt;D177,B177&lt;E177),"OUT",""),"")</f>
        <v/>
      </c>
    </row>
    <row r="178">
      <c r="A178" t="n">
        <v>174</v>
      </c>
      <c r="B178">
        <f>IF(ISNUMBER(Capability!B183),Capability!B183,NA())</f>
        <v/>
      </c>
      <c r="C178">
        <f>Capability!$F$5</f>
        <v/>
      </c>
      <c r="D178">
        <f>Capability!$F$5+3*Capability!$F$8</f>
        <v/>
      </c>
      <c r="E178">
        <f>Capability!$F$5-3*Capability!$F$8</f>
        <v/>
      </c>
      <c r="F178">
        <f>IF(ISNUMBER(Capability!C183),Capability!C183,NA())</f>
        <v/>
      </c>
      <c r="G178">
        <f>Capability!$F$7</f>
        <v/>
      </c>
      <c r="H178">
        <f>(1+3*0.8525/1.128379)*Capability!$F$7</f>
        <v/>
      </c>
      <c r="I178">
        <f>IF(ISNUMBER(B178),IF(OR(B178&gt;D178,B178&lt;E178),"OUT",""),"")</f>
        <v/>
      </c>
    </row>
    <row r="179">
      <c r="A179" t="n">
        <v>175</v>
      </c>
      <c r="B179">
        <f>IF(ISNUMBER(Capability!B184),Capability!B184,NA())</f>
        <v/>
      </c>
      <c r="C179">
        <f>Capability!$F$5</f>
        <v/>
      </c>
      <c r="D179">
        <f>Capability!$F$5+3*Capability!$F$8</f>
        <v/>
      </c>
      <c r="E179">
        <f>Capability!$F$5-3*Capability!$F$8</f>
        <v/>
      </c>
      <c r="F179">
        <f>IF(ISNUMBER(Capability!C184),Capability!C184,NA())</f>
        <v/>
      </c>
      <c r="G179">
        <f>Capability!$F$7</f>
        <v/>
      </c>
      <c r="H179">
        <f>(1+3*0.8525/1.128379)*Capability!$F$7</f>
        <v/>
      </c>
      <c r="I179">
        <f>IF(ISNUMBER(B179),IF(OR(B179&gt;D179,B179&lt;E179),"OUT",""),"")</f>
        <v/>
      </c>
    </row>
    <row r="180">
      <c r="A180" t="n">
        <v>176</v>
      </c>
      <c r="B180">
        <f>IF(ISNUMBER(Capability!B185),Capability!B185,NA())</f>
        <v/>
      </c>
      <c r="C180">
        <f>Capability!$F$5</f>
        <v/>
      </c>
      <c r="D180">
        <f>Capability!$F$5+3*Capability!$F$8</f>
        <v/>
      </c>
      <c r="E180">
        <f>Capability!$F$5-3*Capability!$F$8</f>
        <v/>
      </c>
      <c r="F180">
        <f>IF(ISNUMBER(Capability!C185),Capability!C185,NA())</f>
        <v/>
      </c>
      <c r="G180">
        <f>Capability!$F$7</f>
        <v/>
      </c>
      <c r="H180">
        <f>(1+3*0.8525/1.128379)*Capability!$F$7</f>
        <v/>
      </c>
      <c r="I180">
        <f>IF(ISNUMBER(B180),IF(OR(B180&gt;D180,B180&lt;E180),"OUT",""),"")</f>
        <v/>
      </c>
    </row>
    <row r="181">
      <c r="A181" t="n">
        <v>177</v>
      </c>
      <c r="B181">
        <f>IF(ISNUMBER(Capability!B186),Capability!B186,NA())</f>
        <v/>
      </c>
      <c r="C181">
        <f>Capability!$F$5</f>
        <v/>
      </c>
      <c r="D181">
        <f>Capability!$F$5+3*Capability!$F$8</f>
        <v/>
      </c>
      <c r="E181">
        <f>Capability!$F$5-3*Capability!$F$8</f>
        <v/>
      </c>
      <c r="F181">
        <f>IF(ISNUMBER(Capability!C186),Capability!C186,NA())</f>
        <v/>
      </c>
      <c r="G181">
        <f>Capability!$F$7</f>
        <v/>
      </c>
      <c r="H181">
        <f>(1+3*0.8525/1.128379)*Capability!$F$7</f>
        <v/>
      </c>
      <c r="I181">
        <f>IF(ISNUMBER(B181),IF(OR(B181&gt;D181,B181&lt;E181),"OUT",""),"")</f>
        <v/>
      </c>
    </row>
    <row r="182">
      <c r="A182" t="n">
        <v>178</v>
      </c>
      <c r="B182">
        <f>IF(ISNUMBER(Capability!B187),Capability!B187,NA())</f>
        <v/>
      </c>
      <c r="C182">
        <f>Capability!$F$5</f>
        <v/>
      </c>
      <c r="D182">
        <f>Capability!$F$5+3*Capability!$F$8</f>
        <v/>
      </c>
      <c r="E182">
        <f>Capability!$F$5-3*Capability!$F$8</f>
        <v/>
      </c>
      <c r="F182">
        <f>IF(ISNUMBER(Capability!C187),Capability!C187,NA())</f>
        <v/>
      </c>
      <c r="G182">
        <f>Capability!$F$7</f>
        <v/>
      </c>
      <c r="H182">
        <f>(1+3*0.8525/1.128379)*Capability!$F$7</f>
        <v/>
      </c>
      <c r="I182">
        <f>IF(ISNUMBER(B182),IF(OR(B182&gt;D182,B182&lt;E182),"OUT",""),"")</f>
        <v/>
      </c>
    </row>
    <row r="183">
      <c r="A183" t="n">
        <v>179</v>
      </c>
      <c r="B183">
        <f>IF(ISNUMBER(Capability!B188),Capability!B188,NA())</f>
        <v/>
      </c>
      <c r="C183">
        <f>Capability!$F$5</f>
        <v/>
      </c>
      <c r="D183">
        <f>Capability!$F$5+3*Capability!$F$8</f>
        <v/>
      </c>
      <c r="E183">
        <f>Capability!$F$5-3*Capability!$F$8</f>
        <v/>
      </c>
      <c r="F183">
        <f>IF(ISNUMBER(Capability!C188),Capability!C188,NA())</f>
        <v/>
      </c>
      <c r="G183">
        <f>Capability!$F$7</f>
        <v/>
      </c>
      <c r="H183">
        <f>(1+3*0.8525/1.128379)*Capability!$F$7</f>
        <v/>
      </c>
      <c r="I183">
        <f>IF(ISNUMBER(B183),IF(OR(B183&gt;D183,B183&lt;E183),"OUT",""),"")</f>
        <v/>
      </c>
    </row>
    <row r="184">
      <c r="A184" t="n">
        <v>180</v>
      </c>
      <c r="B184">
        <f>IF(ISNUMBER(Capability!B189),Capability!B189,NA())</f>
        <v/>
      </c>
      <c r="C184">
        <f>Capability!$F$5</f>
        <v/>
      </c>
      <c r="D184">
        <f>Capability!$F$5+3*Capability!$F$8</f>
        <v/>
      </c>
      <c r="E184">
        <f>Capability!$F$5-3*Capability!$F$8</f>
        <v/>
      </c>
      <c r="F184">
        <f>IF(ISNUMBER(Capability!C189),Capability!C189,NA())</f>
        <v/>
      </c>
      <c r="G184">
        <f>Capability!$F$7</f>
        <v/>
      </c>
      <c r="H184">
        <f>(1+3*0.8525/1.128379)*Capability!$F$7</f>
        <v/>
      </c>
      <c r="I184">
        <f>IF(ISNUMBER(B184),IF(OR(B184&gt;D184,B184&lt;E184),"OUT",""),"")</f>
        <v/>
      </c>
    </row>
    <row r="185">
      <c r="A185" t="n">
        <v>181</v>
      </c>
      <c r="B185">
        <f>IF(ISNUMBER(Capability!B190),Capability!B190,NA())</f>
        <v/>
      </c>
      <c r="C185">
        <f>Capability!$F$5</f>
        <v/>
      </c>
      <c r="D185">
        <f>Capability!$F$5+3*Capability!$F$8</f>
        <v/>
      </c>
      <c r="E185">
        <f>Capability!$F$5-3*Capability!$F$8</f>
        <v/>
      </c>
      <c r="F185">
        <f>IF(ISNUMBER(Capability!C190),Capability!C190,NA())</f>
        <v/>
      </c>
      <c r="G185">
        <f>Capability!$F$7</f>
        <v/>
      </c>
      <c r="H185">
        <f>(1+3*0.8525/1.128379)*Capability!$F$7</f>
        <v/>
      </c>
      <c r="I185">
        <f>IF(ISNUMBER(B185),IF(OR(B185&gt;D185,B185&lt;E185),"OUT",""),"")</f>
        <v/>
      </c>
    </row>
    <row r="186">
      <c r="A186" t="n">
        <v>182</v>
      </c>
      <c r="B186">
        <f>IF(ISNUMBER(Capability!B191),Capability!B191,NA())</f>
        <v/>
      </c>
      <c r="C186">
        <f>Capability!$F$5</f>
        <v/>
      </c>
      <c r="D186">
        <f>Capability!$F$5+3*Capability!$F$8</f>
        <v/>
      </c>
      <c r="E186">
        <f>Capability!$F$5-3*Capability!$F$8</f>
        <v/>
      </c>
      <c r="F186">
        <f>IF(ISNUMBER(Capability!C191),Capability!C191,NA())</f>
        <v/>
      </c>
      <c r="G186">
        <f>Capability!$F$7</f>
        <v/>
      </c>
      <c r="H186">
        <f>(1+3*0.8525/1.128379)*Capability!$F$7</f>
        <v/>
      </c>
      <c r="I186">
        <f>IF(ISNUMBER(B186),IF(OR(B186&gt;D186,B186&lt;E186),"OUT",""),"")</f>
        <v/>
      </c>
    </row>
    <row r="187">
      <c r="A187" t="n">
        <v>183</v>
      </c>
      <c r="B187">
        <f>IF(ISNUMBER(Capability!B192),Capability!B192,NA())</f>
        <v/>
      </c>
      <c r="C187">
        <f>Capability!$F$5</f>
        <v/>
      </c>
      <c r="D187">
        <f>Capability!$F$5+3*Capability!$F$8</f>
        <v/>
      </c>
      <c r="E187">
        <f>Capability!$F$5-3*Capability!$F$8</f>
        <v/>
      </c>
      <c r="F187">
        <f>IF(ISNUMBER(Capability!C192),Capability!C192,NA())</f>
        <v/>
      </c>
      <c r="G187">
        <f>Capability!$F$7</f>
        <v/>
      </c>
      <c r="H187">
        <f>(1+3*0.8525/1.128379)*Capability!$F$7</f>
        <v/>
      </c>
      <c r="I187">
        <f>IF(ISNUMBER(B187),IF(OR(B187&gt;D187,B187&lt;E187),"OUT",""),"")</f>
        <v/>
      </c>
    </row>
    <row r="188">
      <c r="A188" t="n">
        <v>184</v>
      </c>
      <c r="B188">
        <f>IF(ISNUMBER(Capability!B193),Capability!B193,NA())</f>
        <v/>
      </c>
      <c r="C188">
        <f>Capability!$F$5</f>
        <v/>
      </c>
      <c r="D188">
        <f>Capability!$F$5+3*Capability!$F$8</f>
        <v/>
      </c>
      <c r="E188">
        <f>Capability!$F$5-3*Capability!$F$8</f>
        <v/>
      </c>
      <c r="F188">
        <f>IF(ISNUMBER(Capability!C193),Capability!C193,NA())</f>
        <v/>
      </c>
      <c r="G188">
        <f>Capability!$F$7</f>
        <v/>
      </c>
      <c r="H188">
        <f>(1+3*0.8525/1.128379)*Capability!$F$7</f>
        <v/>
      </c>
      <c r="I188">
        <f>IF(ISNUMBER(B188),IF(OR(B188&gt;D188,B188&lt;E188),"OUT",""),"")</f>
        <v/>
      </c>
    </row>
    <row r="189">
      <c r="A189" t="n">
        <v>185</v>
      </c>
      <c r="B189">
        <f>IF(ISNUMBER(Capability!B194),Capability!B194,NA())</f>
        <v/>
      </c>
      <c r="C189">
        <f>Capability!$F$5</f>
        <v/>
      </c>
      <c r="D189">
        <f>Capability!$F$5+3*Capability!$F$8</f>
        <v/>
      </c>
      <c r="E189">
        <f>Capability!$F$5-3*Capability!$F$8</f>
        <v/>
      </c>
      <c r="F189">
        <f>IF(ISNUMBER(Capability!C194),Capability!C194,NA())</f>
        <v/>
      </c>
      <c r="G189">
        <f>Capability!$F$7</f>
        <v/>
      </c>
      <c r="H189">
        <f>(1+3*0.8525/1.128379)*Capability!$F$7</f>
        <v/>
      </c>
      <c r="I189">
        <f>IF(ISNUMBER(B189),IF(OR(B189&gt;D189,B189&lt;E189),"OUT",""),"")</f>
        <v/>
      </c>
    </row>
    <row r="190">
      <c r="A190" t="n">
        <v>186</v>
      </c>
      <c r="B190">
        <f>IF(ISNUMBER(Capability!B195),Capability!B195,NA())</f>
        <v/>
      </c>
      <c r="C190">
        <f>Capability!$F$5</f>
        <v/>
      </c>
      <c r="D190">
        <f>Capability!$F$5+3*Capability!$F$8</f>
        <v/>
      </c>
      <c r="E190">
        <f>Capability!$F$5-3*Capability!$F$8</f>
        <v/>
      </c>
      <c r="F190">
        <f>IF(ISNUMBER(Capability!C195),Capability!C195,NA())</f>
        <v/>
      </c>
      <c r="G190">
        <f>Capability!$F$7</f>
        <v/>
      </c>
      <c r="H190">
        <f>(1+3*0.8525/1.128379)*Capability!$F$7</f>
        <v/>
      </c>
      <c r="I190">
        <f>IF(ISNUMBER(B190),IF(OR(B190&gt;D190,B190&lt;E190),"OUT",""),"")</f>
        <v/>
      </c>
    </row>
    <row r="191">
      <c r="A191" t="n">
        <v>187</v>
      </c>
      <c r="B191">
        <f>IF(ISNUMBER(Capability!B196),Capability!B196,NA())</f>
        <v/>
      </c>
      <c r="C191">
        <f>Capability!$F$5</f>
        <v/>
      </c>
      <c r="D191">
        <f>Capability!$F$5+3*Capability!$F$8</f>
        <v/>
      </c>
      <c r="E191">
        <f>Capability!$F$5-3*Capability!$F$8</f>
        <v/>
      </c>
      <c r="F191">
        <f>IF(ISNUMBER(Capability!C196),Capability!C196,NA())</f>
        <v/>
      </c>
      <c r="G191">
        <f>Capability!$F$7</f>
        <v/>
      </c>
      <c r="H191">
        <f>(1+3*0.8525/1.128379)*Capability!$F$7</f>
        <v/>
      </c>
      <c r="I191">
        <f>IF(ISNUMBER(B191),IF(OR(B191&gt;D191,B191&lt;E191),"OUT",""),"")</f>
        <v/>
      </c>
    </row>
    <row r="192">
      <c r="A192" t="n">
        <v>188</v>
      </c>
      <c r="B192">
        <f>IF(ISNUMBER(Capability!B197),Capability!B197,NA())</f>
        <v/>
      </c>
      <c r="C192">
        <f>Capability!$F$5</f>
        <v/>
      </c>
      <c r="D192">
        <f>Capability!$F$5+3*Capability!$F$8</f>
        <v/>
      </c>
      <c r="E192">
        <f>Capability!$F$5-3*Capability!$F$8</f>
        <v/>
      </c>
      <c r="F192">
        <f>IF(ISNUMBER(Capability!C197),Capability!C197,NA())</f>
        <v/>
      </c>
      <c r="G192">
        <f>Capability!$F$7</f>
        <v/>
      </c>
      <c r="H192">
        <f>(1+3*0.8525/1.128379)*Capability!$F$7</f>
        <v/>
      </c>
      <c r="I192">
        <f>IF(ISNUMBER(B192),IF(OR(B192&gt;D192,B192&lt;E192),"OUT",""),"")</f>
        <v/>
      </c>
    </row>
    <row r="193">
      <c r="A193" t="n">
        <v>189</v>
      </c>
      <c r="B193">
        <f>IF(ISNUMBER(Capability!B198),Capability!B198,NA())</f>
        <v/>
      </c>
      <c r="C193">
        <f>Capability!$F$5</f>
        <v/>
      </c>
      <c r="D193">
        <f>Capability!$F$5+3*Capability!$F$8</f>
        <v/>
      </c>
      <c r="E193">
        <f>Capability!$F$5-3*Capability!$F$8</f>
        <v/>
      </c>
      <c r="F193">
        <f>IF(ISNUMBER(Capability!C198),Capability!C198,NA())</f>
        <v/>
      </c>
      <c r="G193">
        <f>Capability!$F$7</f>
        <v/>
      </c>
      <c r="H193">
        <f>(1+3*0.8525/1.128379)*Capability!$F$7</f>
        <v/>
      </c>
      <c r="I193">
        <f>IF(ISNUMBER(B193),IF(OR(B193&gt;D193,B193&lt;E193),"OUT",""),"")</f>
        <v/>
      </c>
    </row>
    <row r="194">
      <c r="A194" t="n">
        <v>190</v>
      </c>
      <c r="B194">
        <f>IF(ISNUMBER(Capability!B199),Capability!B199,NA())</f>
        <v/>
      </c>
      <c r="C194">
        <f>Capability!$F$5</f>
        <v/>
      </c>
      <c r="D194">
        <f>Capability!$F$5+3*Capability!$F$8</f>
        <v/>
      </c>
      <c r="E194">
        <f>Capability!$F$5-3*Capability!$F$8</f>
        <v/>
      </c>
      <c r="F194">
        <f>IF(ISNUMBER(Capability!C199),Capability!C199,NA())</f>
        <v/>
      </c>
      <c r="G194">
        <f>Capability!$F$7</f>
        <v/>
      </c>
      <c r="H194">
        <f>(1+3*0.8525/1.128379)*Capability!$F$7</f>
        <v/>
      </c>
      <c r="I194">
        <f>IF(ISNUMBER(B194),IF(OR(B194&gt;D194,B194&lt;E194),"OUT",""),"")</f>
        <v/>
      </c>
    </row>
    <row r="195">
      <c r="A195" t="n">
        <v>191</v>
      </c>
      <c r="B195">
        <f>IF(ISNUMBER(Capability!B200),Capability!B200,NA())</f>
        <v/>
      </c>
      <c r="C195">
        <f>Capability!$F$5</f>
        <v/>
      </c>
      <c r="D195">
        <f>Capability!$F$5+3*Capability!$F$8</f>
        <v/>
      </c>
      <c r="E195">
        <f>Capability!$F$5-3*Capability!$F$8</f>
        <v/>
      </c>
      <c r="F195">
        <f>IF(ISNUMBER(Capability!C200),Capability!C200,NA())</f>
        <v/>
      </c>
      <c r="G195">
        <f>Capability!$F$7</f>
        <v/>
      </c>
      <c r="H195">
        <f>(1+3*0.8525/1.128379)*Capability!$F$7</f>
        <v/>
      </c>
      <c r="I195">
        <f>IF(ISNUMBER(B195),IF(OR(B195&gt;D195,B195&lt;E195),"OUT",""),"")</f>
        <v/>
      </c>
    </row>
    <row r="196">
      <c r="A196" t="n">
        <v>192</v>
      </c>
      <c r="B196">
        <f>IF(ISNUMBER(Capability!B201),Capability!B201,NA())</f>
        <v/>
      </c>
      <c r="C196">
        <f>Capability!$F$5</f>
        <v/>
      </c>
      <c r="D196">
        <f>Capability!$F$5+3*Capability!$F$8</f>
        <v/>
      </c>
      <c r="E196">
        <f>Capability!$F$5-3*Capability!$F$8</f>
        <v/>
      </c>
      <c r="F196">
        <f>IF(ISNUMBER(Capability!C201),Capability!C201,NA())</f>
        <v/>
      </c>
      <c r="G196">
        <f>Capability!$F$7</f>
        <v/>
      </c>
      <c r="H196">
        <f>(1+3*0.8525/1.128379)*Capability!$F$7</f>
        <v/>
      </c>
      <c r="I196">
        <f>IF(ISNUMBER(B196),IF(OR(B196&gt;D196,B196&lt;E196),"OUT",""),"")</f>
        <v/>
      </c>
    </row>
    <row r="197">
      <c r="A197" t="n">
        <v>193</v>
      </c>
      <c r="B197">
        <f>IF(ISNUMBER(Capability!B202),Capability!B202,NA())</f>
        <v/>
      </c>
      <c r="C197">
        <f>Capability!$F$5</f>
        <v/>
      </c>
      <c r="D197">
        <f>Capability!$F$5+3*Capability!$F$8</f>
        <v/>
      </c>
      <c r="E197">
        <f>Capability!$F$5-3*Capability!$F$8</f>
        <v/>
      </c>
      <c r="F197">
        <f>IF(ISNUMBER(Capability!C202),Capability!C202,NA())</f>
        <v/>
      </c>
      <c r="G197">
        <f>Capability!$F$7</f>
        <v/>
      </c>
      <c r="H197">
        <f>(1+3*0.8525/1.128379)*Capability!$F$7</f>
        <v/>
      </c>
      <c r="I197">
        <f>IF(ISNUMBER(B197),IF(OR(B197&gt;D197,B197&lt;E197),"OUT",""),"")</f>
        <v/>
      </c>
    </row>
    <row r="198">
      <c r="A198" t="n">
        <v>194</v>
      </c>
      <c r="B198">
        <f>IF(ISNUMBER(Capability!B203),Capability!B203,NA())</f>
        <v/>
      </c>
      <c r="C198">
        <f>Capability!$F$5</f>
        <v/>
      </c>
      <c r="D198">
        <f>Capability!$F$5+3*Capability!$F$8</f>
        <v/>
      </c>
      <c r="E198">
        <f>Capability!$F$5-3*Capability!$F$8</f>
        <v/>
      </c>
      <c r="F198">
        <f>IF(ISNUMBER(Capability!C203),Capability!C203,NA())</f>
        <v/>
      </c>
      <c r="G198">
        <f>Capability!$F$7</f>
        <v/>
      </c>
      <c r="H198">
        <f>(1+3*0.8525/1.128379)*Capability!$F$7</f>
        <v/>
      </c>
      <c r="I198">
        <f>IF(ISNUMBER(B198),IF(OR(B198&gt;D198,B198&lt;E198),"OUT",""),"")</f>
        <v/>
      </c>
    </row>
    <row r="199">
      <c r="A199" t="n">
        <v>195</v>
      </c>
      <c r="B199">
        <f>IF(ISNUMBER(Capability!B204),Capability!B204,NA())</f>
        <v/>
      </c>
      <c r="C199">
        <f>Capability!$F$5</f>
        <v/>
      </c>
      <c r="D199">
        <f>Capability!$F$5+3*Capability!$F$8</f>
        <v/>
      </c>
      <c r="E199">
        <f>Capability!$F$5-3*Capability!$F$8</f>
        <v/>
      </c>
      <c r="F199">
        <f>IF(ISNUMBER(Capability!C204),Capability!C204,NA())</f>
        <v/>
      </c>
      <c r="G199">
        <f>Capability!$F$7</f>
        <v/>
      </c>
      <c r="H199">
        <f>(1+3*0.8525/1.128379)*Capability!$F$7</f>
        <v/>
      </c>
      <c r="I199">
        <f>IF(ISNUMBER(B199),IF(OR(B199&gt;D199,B199&lt;E199),"OUT",""),"")</f>
        <v/>
      </c>
    </row>
    <row r="200">
      <c r="A200" t="n">
        <v>196</v>
      </c>
      <c r="B200">
        <f>IF(ISNUMBER(Capability!B205),Capability!B205,NA())</f>
        <v/>
      </c>
      <c r="C200">
        <f>Capability!$F$5</f>
        <v/>
      </c>
      <c r="D200">
        <f>Capability!$F$5+3*Capability!$F$8</f>
        <v/>
      </c>
      <c r="E200">
        <f>Capability!$F$5-3*Capability!$F$8</f>
        <v/>
      </c>
      <c r="F200">
        <f>IF(ISNUMBER(Capability!C205),Capability!C205,NA())</f>
        <v/>
      </c>
      <c r="G200">
        <f>Capability!$F$7</f>
        <v/>
      </c>
      <c r="H200">
        <f>(1+3*0.8525/1.128379)*Capability!$F$7</f>
        <v/>
      </c>
      <c r="I200">
        <f>IF(ISNUMBER(B200),IF(OR(B200&gt;D200,B200&lt;E200),"OUT",""),"")</f>
        <v/>
      </c>
    </row>
    <row r="201">
      <c r="A201" t="n">
        <v>197</v>
      </c>
      <c r="B201">
        <f>IF(ISNUMBER(Capability!B206),Capability!B206,NA())</f>
        <v/>
      </c>
      <c r="C201">
        <f>Capability!$F$5</f>
        <v/>
      </c>
      <c r="D201">
        <f>Capability!$F$5+3*Capability!$F$8</f>
        <v/>
      </c>
      <c r="E201">
        <f>Capability!$F$5-3*Capability!$F$8</f>
        <v/>
      </c>
      <c r="F201">
        <f>IF(ISNUMBER(Capability!C206),Capability!C206,NA())</f>
        <v/>
      </c>
      <c r="G201">
        <f>Capability!$F$7</f>
        <v/>
      </c>
      <c r="H201">
        <f>(1+3*0.8525/1.128379)*Capability!$F$7</f>
        <v/>
      </c>
      <c r="I201">
        <f>IF(ISNUMBER(B201),IF(OR(B201&gt;D201,B201&lt;E201),"OUT",""),"")</f>
        <v/>
      </c>
    </row>
    <row r="202">
      <c r="A202" t="n">
        <v>198</v>
      </c>
      <c r="B202">
        <f>IF(ISNUMBER(Capability!B207),Capability!B207,NA())</f>
        <v/>
      </c>
      <c r="C202">
        <f>Capability!$F$5</f>
        <v/>
      </c>
      <c r="D202">
        <f>Capability!$F$5+3*Capability!$F$8</f>
        <v/>
      </c>
      <c r="E202">
        <f>Capability!$F$5-3*Capability!$F$8</f>
        <v/>
      </c>
      <c r="F202">
        <f>IF(ISNUMBER(Capability!C207),Capability!C207,NA())</f>
        <v/>
      </c>
      <c r="G202">
        <f>Capability!$F$7</f>
        <v/>
      </c>
      <c r="H202">
        <f>(1+3*0.8525/1.128379)*Capability!$F$7</f>
        <v/>
      </c>
      <c r="I202">
        <f>IF(ISNUMBER(B202),IF(OR(B202&gt;D202,B202&lt;E202),"OUT",""),"")</f>
        <v/>
      </c>
    </row>
    <row r="203">
      <c r="A203" t="n">
        <v>199</v>
      </c>
      <c r="B203">
        <f>IF(ISNUMBER(Capability!B208),Capability!B208,NA())</f>
        <v/>
      </c>
      <c r="C203">
        <f>Capability!$F$5</f>
        <v/>
      </c>
      <c r="D203">
        <f>Capability!$F$5+3*Capability!$F$8</f>
        <v/>
      </c>
      <c r="E203">
        <f>Capability!$F$5-3*Capability!$F$8</f>
        <v/>
      </c>
      <c r="F203">
        <f>IF(ISNUMBER(Capability!C208),Capability!C208,NA())</f>
        <v/>
      </c>
      <c r="G203">
        <f>Capability!$F$7</f>
        <v/>
      </c>
      <c r="H203">
        <f>(1+3*0.8525/1.128379)*Capability!$F$7</f>
        <v/>
      </c>
      <c r="I203">
        <f>IF(ISNUMBER(B203),IF(OR(B203&gt;D203,B203&lt;E203),"OUT",""),"")</f>
        <v/>
      </c>
    </row>
    <row r="204">
      <c r="A204" t="n">
        <v>200</v>
      </c>
      <c r="B204">
        <f>IF(ISNUMBER(Capability!B209),Capability!B209,NA())</f>
        <v/>
      </c>
      <c r="C204">
        <f>Capability!$F$5</f>
        <v/>
      </c>
      <c r="D204">
        <f>Capability!$F$5+3*Capability!$F$8</f>
        <v/>
      </c>
      <c r="E204">
        <f>Capability!$F$5-3*Capability!$F$8</f>
        <v/>
      </c>
      <c r="F204">
        <f>IF(ISNUMBER(Capability!C209),Capability!C209,NA())</f>
        <v/>
      </c>
      <c r="G204">
        <f>Capability!$F$7</f>
        <v/>
      </c>
      <c r="H204">
        <f>(1+3*0.8525/1.128379)*Capability!$F$7</f>
        <v/>
      </c>
      <c r="I204">
        <f>IF(ISNUMBER(B204),IF(OR(B204&gt;D204,B204&lt;E204),"OUT",""),"")</f>
        <v/>
      </c>
    </row>
    <row r="205">
      <c r="A205" t="n">
        <v>201</v>
      </c>
      <c r="B205">
        <f>IF(ISNUMBER(Capability!B210),Capability!B210,NA())</f>
        <v/>
      </c>
      <c r="C205">
        <f>Capability!$F$5</f>
        <v/>
      </c>
      <c r="D205">
        <f>Capability!$F$5+3*Capability!$F$8</f>
        <v/>
      </c>
      <c r="E205">
        <f>Capability!$F$5-3*Capability!$F$8</f>
        <v/>
      </c>
      <c r="F205">
        <f>IF(ISNUMBER(Capability!C210),Capability!C210,NA())</f>
        <v/>
      </c>
      <c r="G205">
        <f>Capability!$F$7</f>
        <v/>
      </c>
      <c r="H205">
        <f>(1+3*0.8525/1.128379)*Capability!$F$7</f>
        <v/>
      </c>
      <c r="I205">
        <f>IF(ISNUMBER(B205),IF(OR(B205&gt;D205,B205&lt;E205),"OUT",""),"")</f>
        <v/>
      </c>
    </row>
    <row r="206">
      <c r="A206" t="n">
        <v>202</v>
      </c>
      <c r="B206">
        <f>IF(ISNUMBER(Capability!B211),Capability!B211,NA())</f>
        <v/>
      </c>
      <c r="C206">
        <f>Capability!$F$5</f>
        <v/>
      </c>
      <c r="D206">
        <f>Capability!$F$5+3*Capability!$F$8</f>
        <v/>
      </c>
      <c r="E206">
        <f>Capability!$F$5-3*Capability!$F$8</f>
        <v/>
      </c>
      <c r="F206">
        <f>IF(ISNUMBER(Capability!C211),Capability!C211,NA())</f>
        <v/>
      </c>
      <c r="G206">
        <f>Capability!$F$7</f>
        <v/>
      </c>
      <c r="H206">
        <f>(1+3*0.8525/1.128379)*Capability!$F$7</f>
        <v/>
      </c>
      <c r="I206">
        <f>IF(ISNUMBER(B206),IF(OR(B206&gt;D206,B206&lt;E206),"OUT",""),"")</f>
        <v/>
      </c>
    </row>
    <row r="207">
      <c r="A207" t="n">
        <v>203</v>
      </c>
      <c r="B207">
        <f>IF(ISNUMBER(Capability!B212),Capability!B212,NA())</f>
        <v/>
      </c>
      <c r="C207">
        <f>Capability!$F$5</f>
        <v/>
      </c>
      <c r="D207">
        <f>Capability!$F$5+3*Capability!$F$8</f>
        <v/>
      </c>
      <c r="E207">
        <f>Capability!$F$5-3*Capability!$F$8</f>
        <v/>
      </c>
      <c r="F207">
        <f>IF(ISNUMBER(Capability!C212),Capability!C212,NA())</f>
        <v/>
      </c>
      <c r="G207">
        <f>Capability!$F$7</f>
        <v/>
      </c>
      <c r="H207">
        <f>(1+3*0.8525/1.128379)*Capability!$F$7</f>
        <v/>
      </c>
      <c r="I207">
        <f>IF(ISNUMBER(B207),IF(OR(B207&gt;D207,B207&lt;E207),"OUT",""),"")</f>
        <v/>
      </c>
    </row>
    <row r="208">
      <c r="A208" t="n">
        <v>204</v>
      </c>
      <c r="B208">
        <f>IF(ISNUMBER(Capability!B213),Capability!B213,NA())</f>
        <v/>
      </c>
      <c r="C208">
        <f>Capability!$F$5</f>
        <v/>
      </c>
      <c r="D208">
        <f>Capability!$F$5+3*Capability!$F$8</f>
        <v/>
      </c>
      <c r="E208">
        <f>Capability!$F$5-3*Capability!$F$8</f>
        <v/>
      </c>
      <c r="F208">
        <f>IF(ISNUMBER(Capability!C213),Capability!C213,NA())</f>
        <v/>
      </c>
      <c r="G208">
        <f>Capability!$F$7</f>
        <v/>
      </c>
      <c r="H208">
        <f>(1+3*0.8525/1.128379)*Capability!$F$7</f>
        <v/>
      </c>
      <c r="I208">
        <f>IF(ISNUMBER(B208),IF(OR(B208&gt;D208,B208&lt;E208),"OUT",""),"")</f>
        <v/>
      </c>
    </row>
    <row r="209">
      <c r="A209" t="n">
        <v>205</v>
      </c>
      <c r="B209">
        <f>IF(ISNUMBER(Capability!B214),Capability!B214,NA())</f>
        <v/>
      </c>
      <c r="C209">
        <f>Capability!$F$5</f>
        <v/>
      </c>
      <c r="D209">
        <f>Capability!$F$5+3*Capability!$F$8</f>
        <v/>
      </c>
      <c r="E209">
        <f>Capability!$F$5-3*Capability!$F$8</f>
        <v/>
      </c>
      <c r="F209">
        <f>IF(ISNUMBER(Capability!C214),Capability!C214,NA())</f>
        <v/>
      </c>
      <c r="G209">
        <f>Capability!$F$7</f>
        <v/>
      </c>
      <c r="H209">
        <f>(1+3*0.8525/1.128379)*Capability!$F$7</f>
        <v/>
      </c>
      <c r="I209">
        <f>IF(ISNUMBER(B209),IF(OR(B209&gt;D209,B209&lt;E209),"OUT",""),"")</f>
        <v/>
      </c>
    </row>
    <row r="210">
      <c r="A210" t="n">
        <v>206</v>
      </c>
      <c r="B210">
        <f>IF(ISNUMBER(Capability!B215),Capability!B215,NA())</f>
        <v/>
      </c>
      <c r="C210">
        <f>Capability!$F$5</f>
        <v/>
      </c>
      <c r="D210">
        <f>Capability!$F$5+3*Capability!$F$8</f>
        <v/>
      </c>
      <c r="E210">
        <f>Capability!$F$5-3*Capability!$F$8</f>
        <v/>
      </c>
      <c r="F210">
        <f>IF(ISNUMBER(Capability!C215),Capability!C215,NA())</f>
        <v/>
      </c>
      <c r="G210">
        <f>Capability!$F$7</f>
        <v/>
      </c>
      <c r="H210">
        <f>(1+3*0.8525/1.128379)*Capability!$F$7</f>
        <v/>
      </c>
      <c r="I210">
        <f>IF(ISNUMBER(B210),IF(OR(B210&gt;D210,B210&lt;E210),"OUT",""),"")</f>
        <v/>
      </c>
    </row>
    <row r="211">
      <c r="A211" t="n">
        <v>207</v>
      </c>
      <c r="B211">
        <f>IF(ISNUMBER(Capability!B216),Capability!B216,NA())</f>
        <v/>
      </c>
      <c r="C211">
        <f>Capability!$F$5</f>
        <v/>
      </c>
      <c r="D211">
        <f>Capability!$F$5+3*Capability!$F$8</f>
        <v/>
      </c>
      <c r="E211">
        <f>Capability!$F$5-3*Capability!$F$8</f>
        <v/>
      </c>
      <c r="F211">
        <f>IF(ISNUMBER(Capability!C216),Capability!C216,NA())</f>
        <v/>
      </c>
      <c r="G211">
        <f>Capability!$F$7</f>
        <v/>
      </c>
      <c r="H211">
        <f>(1+3*0.8525/1.128379)*Capability!$F$7</f>
        <v/>
      </c>
      <c r="I211">
        <f>IF(ISNUMBER(B211),IF(OR(B211&gt;D211,B211&lt;E211),"OUT",""),"")</f>
        <v/>
      </c>
    </row>
    <row r="212">
      <c r="A212" t="n">
        <v>208</v>
      </c>
      <c r="B212">
        <f>IF(ISNUMBER(Capability!B217),Capability!B217,NA())</f>
        <v/>
      </c>
      <c r="C212">
        <f>Capability!$F$5</f>
        <v/>
      </c>
      <c r="D212">
        <f>Capability!$F$5+3*Capability!$F$8</f>
        <v/>
      </c>
      <c r="E212">
        <f>Capability!$F$5-3*Capability!$F$8</f>
        <v/>
      </c>
      <c r="F212">
        <f>IF(ISNUMBER(Capability!C217),Capability!C217,NA())</f>
        <v/>
      </c>
      <c r="G212">
        <f>Capability!$F$7</f>
        <v/>
      </c>
      <c r="H212">
        <f>(1+3*0.8525/1.128379)*Capability!$F$7</f>
        <v/>
      </c>
      <c r="I212">
        <f>IF(ISNUMBER(B212),IF(OR(B212&gt;D212,B212&lt;E212),"OUT",""),"")</f>
        <v/>
      </c>
    </row>
    <row r="213">
      <c r="A213" t="n">
        <v>209</v>
      </c>
      <c r="B213">
        <f>IF(ISNUMBER(Capability!B218),Capability!B218,NA())</f>
        <v/>
      </c>
      <c r="C213">
        <f>Capability!$F$5</f>
        <v/>
      </c>
      <c r="D213">
        <f>Capability!$F$5+3*Capability!$F$8</f>
        <v/>
      </c>
      <c r="E213">
        <f>Capability!$F$5-3*Capability!$F$8</f>
        <v/>
      </c>
      <c r="F213">
        <f>IF(ISNUMBER(Capability!C218),Capability!C218,NA())</f>
        <v/>
      </c>
      <c r="G213">
        <f>Capability!$F$7</f>
        <v/>
      </c>
      <c r="H213">
        <f>(1+3*0.8525/1.128379)*Capability!$F$7</f>
        <v/>
      </c>
      <c r="I213">
        <f>IF(ISNUMBER(B213),IF(OR(B213&gt;D213,B213&lt;E213),"OUT",""),"")</f>
        <v/>
      </c>
    </row>
    <row r="214">
      <c r="A214" t="n">
        <v>210</v>
      </c>
      <c r="B214">
        <f>IF(ISNUMBER(Capability!B219),Capability!B219,NA())</f>
        <v/>
      </c>
      <c r="C214">
        <f>Capability!$F$5</f>
        <v/>
      </c>
      <c r="D214">
        <f>Capability!$F$5+3*Capability!$F$8</f>
        <v/>
      </c>
      <c r="E214">
        <f>Capability!$F$5-3*Capability!$F$8</f>
        <v/>
      </c>
      <c r="F214">
        <f>IF(ISNUMBER(Capability!C219),Capability!C219,NA())</f>
        <v/>
      </c>
      <c r="G214">
        <f>Capability!$F$7</f>
        <v/>
      </c>
      <c r="H214">
        <f>(1+3*0.8525/1.128379)*Capability!$F$7</f>
        <v/>
      </c>
      <c r="I214">
        <f>IF(ISNUMBER(B214),IF(OR(B214&gt;D214,B214&lt;E214),"OUT",""),"")</f>
        <v/>
      </c>
    </row>
    <row r="215">
      <c r="A215" t="n">
        <v>211</v>
      </c>
      <c r="B215">
        <f>IF(ISNUMBER(Capability!B220),Capability!B220,NA())</f>
        <v/>
      </c>
      <c r="C215">
        <f>Capability!$F$5</f>
        <v/>
      </c>
      <c r="D215">
        <f>Capability!$F$5+3*Capability!$F$8</f>
        <v/>
      </c>
      <c r="E215">
        <f>Capability!$F$5-3*Capability!$F$8</f>
        <v/>
      </c>
      <c r="F215">
        <f>IF(ISNUMBER(Capability!C220),Capability!C220,NA())</f>
        <v/>
      </c>
      <c r="G215">
        <f>Capability!$F$7</f>
        <v/>
      </c>
      <c r="H215">
        <f>(1+3*0.8525/1.128379)*Capability!$F$7</f>
        <v/>
      </c>
      <c r="I215">
        <f>IF(ISNUMBER(B215),IF(OR(B215&gt;D215,B215&lt;E215),"OUT",""),"")</f>
        <v/>
      </c>
    </row>
    <row r="216">
      <c r="A216" t="n">
        <v>212</v>
      </c>
      <c r="B216">
        <f>IF(ISNUMBER(Capability!B221),Capability!B221,NA())</f>
        <v/>
      </c>
      <c r="C216">
        <f>Capability!$F$5</f>
        <v/>
      </c>
      <c r="D216">
        <f>Capability!$F$5+3*Capability!$F$8</f>
        <v/>
      </c>
      <c r="E216">
        <f>Capability!$F$5-3*Capability!$F$8</f>
        <v/>
      </c>
      <c r="F216">
        <f>IF(ISNUMBER(Capability!C221),Capability!C221,NA())</f>
        <v/>
      </c>
      <c r="G216">
        <f>Capability!$F$7</f>
        <v/>
      </c>
      <c r="H216">
        <f>(1+3*0.8525/1.128379)*Capability!$F$7</f>
        <v/>
      </c>
      <c r="I216">
        <f>IF(ISNUMBER(B216),IF(OR(B216&gt;D216,B216&lt;E216),"OUT",""),"")</f>
        <v/>
      </c>
    </row>
    <row r="217">
      <c r="A217" t="n">
        <v>213</v>
      </c>
      <c r="B217">
        <f>IF(ISNUMBER(Capability!B222),Capability!B222,NA())</f>
        <v/>
      </c>
      <c r="C217">
        <f>Capability!$F$5</f>
        <v/>
      </c>
      <c r="D217">
        <f>Capability!$F$5+3*Capability!$F$8</f>
        <v/>
      </c>
      <c r="E217">
        <f>Capability!$F$5-3*Capability!$F$8</f>
        <v/>
      </c>
      <c r="F217">
        <f>IF(ISNUMBER(Capability!C222),Capability!C222,NA())</f>
        <v/>
      </c>
      <c r="G217">
        <f>Capability!$F$7</f>
        <v/>
      </c>
      <c r="H217">
        <f>(1+3*0.8525/1.128379)*Capability!$F$7</f>
        <v/>
      </c>
      <c r="I217">
        <f>IF(ISNUMBER(B217),IF(OR(B217&gt;D217,B217&lt;E217),"OUT",""),"")</f>
        <v/>
      </c>
    </row>
    <row r="218">
      <c r="A218" t="n">
        <v>214</v>
      </c>
      <c r="B218">
        <f>IF(ISNUMBER(Capability!B223),Capability!B223,NA())</f>
        <v/>
      </c>
      <c r="C218">
        <f>Capability!$F$5</f>
        <v/>
      </c>
      <c r="D218">
        <f>Capability!$F$5+3*Capability!$F$8</f>
        <v/>
      </c>
      <c r="E218">
        <f>Capability!$F$5-3*Capability!$F$8</f>
        <v/>
      </c>
      <c r="F218">
        <f>IF(ISNUMBER(Capability!C223),Capability!C223,NA())</f>
        <v/>
      </c>
      <c r="G218">
        <f>Capability!$F$7</f>
        <v/>
      </c>
      <c r="H218">
        <f>(1+3*0.8525/1.128379)*Capability!$F$7</f>
        <v/>
      </c>
      <c r="I218">
        <f>IF(ISNUMBER(B218),IF(OR(B218&gt;D218,B218&lt;E218),"OUT",""),"")</f>
        <v/>
      </c>
    </row>
    <row r="219">
      <c r="A219" t="n">
        <v>215</v>
      </c>
      <c r="B219">
        <f>IF(ISNUMBER(Capability!B224),Capability!B224,NA())</f>
        <v/>
      </c>
      <c r="C219">
        <f>Capability!$F$5</f>
        <v/>
      </c>
      <c r="D219">
        <f>Capability!$F$5+3*Capability!$F$8</f>
        <v/>
      </c>
      <c r="E219">
        <f>Capability!$F$5-3*Capability!$F$8</f>
        <v/>
      </c>
      <c r="F219">
        <f>IF(ISNUMBER(Capability!C224),Capability!C224,NA())</f>
        <v/>
      </c>
      <c r="G219">
        <f>Capability!$F$7</f>
        <v/>
      </c>
      <c r="H219">
        <f>(1+3*0.8525/1.128379)*Capability!$F$7</f>
        <v/>
      </c>
      <c r="I219">
        <f>IF(ISNUMBER(B219),IF(OR(B219&gt;D219,B219&lt;E219),"OUT",""),"")</f>
        <v/>
      </c>
    </row>
    <row r="220">
      <c r="A220" t="n">
        <v>216</v>
      </c>
      <c r="B220">
        <f>IF(ISNUMBER(Capability!B225),Capability!B225,NA())</f>
        <v/>
      </c>
      <c r="C220">
        <f>Capability!$F$5</f>
        <v/>
      </c>
      <c r="D220">
        <f>Capability!$F$5+3*Capability!$F$8</f>
        <v/>
      </c>
      <c r="E220">
        <f>Capability!$F$5-3*Capability!$F$8</f>
        <v/>
      </c>
      <c r="F220">
        <f>IF(ISNUMBER(Capability!C225),Capability!C225,NA())</f>
        <v/>
      </c>
      <c r="G220">
        <f>Capability!$F$7</f>
        <v/>
      </c>
      <c r="H220">
        <f>(1+3*0.8525/1.128379)*Capability!$F$7</f>
        <v/>
      </c>
      <c r="I220">
        <f>IF(ISNUMBER(B220),IF(OR(B220&gt;D220,B220&lt;E220),"OUT",""),"")</f>
        <v/>
      </c>
    </row>
    <row r="221">
      <c r="A221" t="n">
        <v>217</v>
      </c>
      <c r="B221">
        <f>IF(ISNUMBER(Capability!B226),Capability!B226,NA())</f>
        <v/>
      </c>
      <c r="C221">
        <f>Capability!$F$5</f>
        <v/>
      </c>
      <c r="D221">
        <f>Capability!$F$5+3*Capability!$F$8</f>
        <v/>
      </c>
      <c r="E221">
        <f>Capability!$F$5-3*Capability!$F$8</f>
        <v/>
      </c>
      <c r="F221">
        <f>IF(ISNUMBER(Capability!C226),Capability!C226,NA())</f>
        <v/>
      </c>
      <c r="G221">
        <f>Capability!$F$7</f>
        <v/>
      </c>
      <c r="H221">
        <f>(1+3*0.8525/1.128379)*Capability!$F$7</f>
        <v/>
      </c>
      <c r="I221">
        <f>IF(ISNUMBER(B221),IF(OR(B221&gt;D221,B221&lt;E221),"OUT",""),"")</f>
        <v/>
      </c>
    </row>
    <row r="222">
      <c r="A222" t="n">
        <v>218</v>
      </c>
      <c r="B222">
        <f>IF(ISNUMBER(Capability!B227),Capability!B227,NA())</f>
        <v/>
      </c>
      <c r="C222">
        <f>Capability!$F$5</f>
        <v/>
      </c>
      <c r="D222">
        <f>Capability!$F$5+3*Capability!$F$8</f>
        <v/>
      </c>
      <c r="E222">
        <f>Capability!$F$5-3*Capability!$F$8</f>
        <v/>
      </c>
      <c r="F222">
        <f>IF(ISNUMBER(Capability!C227),Capability!C227,NA())</f>
        <v/>
      </c>
      <c r="G222">
        <f>Capability!$F$7</f>
        <v/>
      </c>
      <c r="H222">
        <f>(1+3*0.8525/1.128379)*Capability!$F$7</f>
        <v/>
      </c>
      <c r="I222">
        <f>IF(ISNUMBER(B222),IF(OR(B222&gt;D222,B222&lt;E222),"OUT",""),"")</f>
        <v/>
      </c>
    </row>
    <row r="223">
      <c r="A223" t="n">
        <v>219</v>
      </c>
      <c r="B223">
        <f>IF(ISNUMBER(Capability!B228),Capability!B228,NA())</f>
        <v/>
      </c>
      <c r="C223">
        <f>Capability!$F$5</f>
        <v/>
      </c>
      <c r="D223">
        <f>Capability!$F$5+3*Capability!$F$8</f>
        <v/>
      </c>
      <c r="E223">
        <f>Capability!$F$5-3*Capability!$F$8</f>
        <v/>
      </c>
      <c r="F223">
        <f>IF(ISNUMBER(Capability!C228),Capability!C228,NA())</f>
        <v/>
      </c>
      <c r="G223">
        <f>Capability!$F$7</f>
        <v/>
      </c>
      <c r="H223">
        <f>(1+3*0.8525/1.128379)*Capability!$F$7</f>
        <v/>
      </c>
      <c r="I223">
        <f>IF(ISNUMBER(B223),IF(OR(B223&gt;D223,B223&lt;E223),"OUT",""),"")</f>
        <v/>
      </c>
    </row>
    <row r="224">
      <c r="A224" t="n">
        <v>220</v>
      </c>
      <c r="B224">
        <f>IF(ISNUMBER(Capability!B229),Capability!B229,NA())</f>
        <v/>
      </c>
      <c r="C224">
        <f>Capability!$F$5</f>
        <v/>
      </c>
      <c r="D224">
        <f>Capability!$F$5+3*Capability!$F$8</f>
        <v/>
      </c>
      <c r="E224">
        <f>Capability!$F$5-3*Capability!$F$8</f>
        <v/>
      </c>
      <c r="F224">
        <f>IF(ISNUMBER(Capability!C229),Capability!C229,NA())</f>
        <v/>
      </c>
      <c r="G224">
        <f>Capability!$F$7</f>
        <v/>
      </c>
      <c r="H224">
        <f>(1+3*0.8525/1.128379)*Capability!$F$7</f>
        <v/>
      </c>
      <c r="I224">
        <f>IF(ISNUMBER(B224),IF(OR(B224&gt;D224,B224&lt;E224),"OUT",""),"")</f>
        <v/>
      </c>
    </row>
    <row r="225">
      <c r="A225" t="n">
        <v>221</v>
      </c>
      <c r="B225">
        <f>IF(ISNUMBER(Capability!B230),Capability!B230,NA())</f>
        <v/>
      </c>
      <c r="C225">
        <f>Capability!$F$5</f>
        <v/>
      </c>
      <c r="D225">
        <f>Capability!$F$5+3*Capability!$F$8</f>
        <v/>
      </c>
      <c r="E225">
        <f>Capability!$F$5-3*Capability!$F$8</f>
        <v/>
      </c>
      <c r="F225">
        <f>IF(ISNUMBER(Capability!C230),Capability!C230,NA())</f>
        <v/>
      </c>
      <c r="G225">
        <f>Capability!$F$7</f>
        <v/>
      </c>
      <c r="H225">
        <f>(1+3*0.8525/1.128379)*Capability!$F$7</f>
        <v/>
      </c>
      <c r="I225">
        <f>IF(ISNUMBER(B225),IF(OR(B225&gt;D225,B225&lt;E225),"OUT",""),"")</f>
        <v/>
      </c>
    </row>
    <row r="226">
      <c r="A226" t="n">
        <v>222</v>
      </c>
      <c r="B226">
        <f>IF(ISNUMBER(Capability!B231),Capability!B231,NA())</f>
        <v/>
      </c>
      <c r="C226">
        <f>Capability!$F$5</f>
        <v/>
      </c>
      <c r="D226">
        <f>Capability!$F$5+3*Capability!$F$8</f>
        <v/>
      </c>
      <c r="E226">
        <f>Capability!$F$5-3*Capability!$F$8</f>
        <v/>
      </c>
      <c r="F226">
        <f>IF(ISNUMBER(Capability!C231),Capability!C231,NA())</f>
        <v/>
      </c>
      <c r="G226">
        <f>Capability!$F$7</f>
        <v/>
      </c>
      <c r="H226">
        <f>(1+3*0.8525/1.128379)*Capability!$F$7</f>
        <v/>
      </c>
      <c r="I226">
        <f>IF(ISNUMBER(B226),IF(OR(B226&gt;D226,B226&lt;E226),"OUT",""),"")</f>
        <v/>
      </c>
    </row>
    <row r="227">
      <c r="A227" t="n">
        <v>223</v>
      </c>
      <c r="B227">
        <f>IF(ISNUMBER(Capability!B232),Capability!B232,NA())</f>
        <v/>
      </c>
      <c r="C227">
        <f>Capability!$F$5</f>
        <v/>
      </c>
      <c r="D227">
        <f>Capability!$F$5+3*Capability!$F$8</f>
        <v/>
      </c>
      <c r="E227">
        <f>Capability!$F$5-3*Capability!$F$8</f>
        <v/>
      </c>
      <c r="F227">
        <f>IF(ISNUMBER(Capability!C232),Capability!C232,NA())</f>
        <v/>
      </c>
      <c r="G227">
        <f>Capability!$F$7</f>
        <v/>
      </c>
      <c r="H227">
        <f>(1+3*0.8525/1.128379)*Capability!$F$7</f>
        <v/>
      </c>
      <c r="I227">
        <f>IF(ISNUMBER(B227),IF(OR(B227&gt;D227,B227&lt;E227),"OUT",""),"")</f>
        <v/>
      </c>
    </row>
    <row r="228">
      <c r="A228" t="n">
        <v>224</v>
      </c>
      <c r="B228">
        <f>IF(ISNUMBER(Capability!B233),Capability!B233,NA())</f>
        <v/>
      </c>
      <c r="C228">
        <f>Capability!$F$5</f>
        <v/>
      </c>
      <c r="D228">
        <f>Capability!$F$5+3*Capability!$F$8</f>
        <v/>
      </c>
      <c r="E228">
        <f>Capability!$F$5-3*Capability!$F$8</f>
        <v/>
      </c>
      <c r="F228">
        <f>IF(ISNUMBER(Capability!C233),Capability!C233,NA())</f>
        <v/>
      </c>
      <c r="G228">
        <f>Capability!$F$7</f>
        <v/>
      </c>
      <c r="H228">
        <f>(1+3*0.8525/1.128379)*Capability!$F$7</f>
        <v/>
      </c>
      <c r="I228">
        <f>IF(ISNUMBER(B228),IF(OR(B228&gt;D228,B228&lt;E228),"OUT",""),"")</f>
        <v/>
      </c>
    </row>
    <row r="229">
      <c r="A229" t="n">
        <v>225</v>
      </c>
      <c r="B229">
        <f>IF(ISNUMBER(Capability!B234),Capability!B234,NA())</f>
        <v/>
      </c>
      <c r="C229">
        <f>Capability!$F$5</f>
        <v/>
      </c>
      <c r="D229">
        <f>Capability!$F$5+3*Capability!$F$8</f>
        <v/>
      </c>
      <c r="E229">
        <f>Capability!$F$5-3*Capability!$F$8</f>
        <v/>
      </c>
      <c r="F229">
        <f>IF(ISNUMBER(Capability!C234),Capability!C234,NA())</f>
        <v/>
      </c>
      <c r="G229">
        <f>Capability!$F$7</f>
        <v/>
      </c>
      <c r="H229">
        <f>(1+3*0.8525/1.128379)*Capability!$F$7</f>
        <v/>
      </c>
      <c r="I229">
        <f>IF(ISNUMBER(B229),IF(OR(B229&gt;D229,B229&lt;E229),"OUT",""),"")</f>
        <v/>
      </c>
    </row>
    <row r="230">
      <c r="A230" t="n">
        <v>226</v>
      </c>
      <c r="B230">
        <f>IF(ISNUMBER(Capability!B235),Capability!B235,NA())</f>
        <v/>
      </c>
      <c r="C230">
        <f>Capability!$F$5</f>
        <v/>
      </c>
      <c r="D230">
        <f>Capability!$F$5+3*Capability!$F$8</f>
        <v/>
      </c>
      <c r="E230">
        <f>Capability!$F$5-3*Capability!$F$8</f>
        <v/>
      </c>
      <c r="F230">
        <f>IF(ISNUMBER(Capability!C235),Capability!C235,NA())</f>
        <v/>
      </c>
      <c r="G230">
        <f>Capability!$F$7</f>
        <v/>
      </c>
      <c r="H230">
        <f>(1+3*0.8525/1.128379)*Capability!$F$7</f>
        <v/>
      </c>
      <c r="I230">
        <f>IF(ISNUMBER(B230),IF(OR(B230&gt;D230,B230&lt;E230),"OUT",""),"")</f>
        <v/>
      </c>
    </row>
    <row r="231">
      <c r="A231" t="n">
        <v>227</v>
      </c>
      <c r="B231">
        <f>IF(ISNUMBER(Capability!B236),Capability!B236,NA())</f>
        <v/>
      </c>
      <c r="C231">
        <f>Capability!$F$5</f>
        <v/>
      </c>
      <c r="D231">
        <f>Capability!$F$5+3*Capability!$F$8</f>
        <v/>
      </c>
      <c r="E231">
        <f>Capability!$F$5-3*Capability!$F$8</f>
        <v/>
      </c>
      <c r="F231">
        <f>IF(ISNUMBER(Capability!C236),Capability!C236,NA())</f>
        <v/>
      </c>
      <c r="G231">
        <f>Capability!$F$7</f>
        <v/>
      </c>
      <c r="H231">
        <f>(1+3*0.8525/1.128379)*Capability!$F$7</f>
        <v/>
      </c>
      <c r="I231">
        <f>IF(ISNUMBER(B231),IF(OR(B231&gt;D231,B231&lt;E231),"OUT",""),"")</f>
        <v/>
      </c>
    </row>
    <row r="232">
      <c r="A232" t="n">
        <v>228</v>
      </c>
      <c r="B232">
        <f>IF(ISNUMBER(Capability!B237),Capability!B237,NA())</f>
        <v/>
      </c>
      <c r="C232">
        <f>Capability!$F$5</f>
        <v/>
      </c>
      <c r="D232">
        <f>Capability!$F$5+3*Capability!$F$8</f>
        <v/>
      </c>
      <c r="E232">
        <f>Capability!$F$5-3*Capability!$F$8</f>
        <v/>
      </c>
      <c r="F232">
        <f>IF(ISNUMBER(Capability!C237),Capability!C237,NA())</f>
        <v/>
      </c>
      <c r="G232">
        <f>Capability!$F$7</f>
        <v/>
      </c>
      <c r="H232">
        <f>(1+3*0.8525/1.128379)*Capability!$F$7</f>
        <v/>
      </c>
      <c r="I232">
        <f>IF(ISNUMBER(B232),IF(OR(B232&gt;D232,B232&lt;E232),"OUT",""),"")</f>
        <v/>
      </c>
    </row>
    <row r="233">
      <c r="A233" t="n">
        <v>229</v>
      </c>
      <c r="B233">
        <f>IF(ISNUMBER(Capability!B238),Capability!B238,NA())</f>
        <v/>
      </c>
      <c r="C233">
        <f>Capability!$F$5</f>
        <v/>
      </c>
      <c r="D233">
        <f>Capability!$F$5+3*Capability!$F$8</f>
        <v/>
      </c>
      <c r="E233">
        <f>Capability!$F$5-3*Capability!$F$8</f>
        <v/>
      </c>
      <c r="F233">
        <f>IF(ISNUMBER(Capability!C238),Capability!C238,NA())</f>
        <v/>
      </c>
      <c r="G233">
        <f>Capability!$F$7</f>
        <v/>
      </c>
      <c r="H233">
        <f>(1+3*0.8525/1.128379)*Capability!$F$7</f>
        <v/>
      </c>
      <c r="I233">
        <f>IF(ISNUMBER(B233),IF(OR(B233&gt;D233,B233&lt;E233),"OUT",""),"")</f>
        <v/>
      </c>
    </row>
    <row r="234">
      <c r="A234" t="n">
        <v>230</v>
      </c>
      <c r="B234">
        <f>IF(ISNUMBER(Capability!B239),Capability!B239,NA())</f>
        <v/>
      </c>
      <c r="C234">
        <f>Capability!$F$5</f>
        <v/>
      </c>
      <c r="D234">
        <f>Capability!$F$5+3*Capability!$F$8</f>
        <v/>
      </c>
      <c r="E234">
        <f>Capability!$F$5-3*Capability!$F$8</f>
        <v/>
      </c>
      <c r="F234">
        <f>IF(ISNUMBER(Capability!C239),Capability!C239,NA())</f>
        <v/>
      </c>
      <c r="G234">
        <f>Capability!$F$7</f>
        <v/>
      </c>
      <c r="H234">
        <f>(1+3*0.8525/1.128379)*Capability!$F$7</f>
        <v/>
      </c>
      <c r="I234">
        <f>IF(ISNUMBER(B234),IF(OR(B234&gt;D234,B234&lt;E234),"OUT",""),"")</f>
        <v/>
      </c>
    </row>
    <row r="235">
      <c r="A235" t="n">
        <v>231</v>
      </c>
      <c r="B235">
        <f>IF(ISNUMBER(Capability!B240),Capability!B240,NA())</f>
        <v/>
      </c>
      <c r="C235">
        <f>Capability!$F$5</f>
        <v/>
      </c>
      <c r="D235">
        <f>Capability!$F$5+3*Capability!$F$8</f>
        <v/>
      </c>
      <c r="E235">
        <f>Capability!$F$5-3*Capability!$F$8</f>
        <v/>
      </c>
      <c r="F235">
        <f>IF(ISNUMBER(Capability!C240),Capability!C240,NA())</f>
        <v/>
      </c>
      <c r="G235">
        <f>Capability!$F$7</f>
        <v/>
      </c>
      <c r="H235">
        <f>(1+3*0.8525/1.128379)*Capability!$F$7</f>
        <v/>
      </c>
      <c r="I235">
        <f>IF(ISNUMBER(B235),IF(OR(B235&gt;D235,B235&lt;E235),"OUT",""),"")</f>
        <v/>
      </c>
    </row>
    <row r="236">
      <c r="A236" t="n">
        <v>232</v>
      </c>
      <c r="B236">
        <f>IF(ISNUMBER(Capability!B241),Capability!B241,NA())</f>
        <v/>
      </c>
      <c r="C236">
        <f>Capability!$F$5</f>
        <v/>
      </c>
      <c r="D236">
        <f>Capability!$F$5+3*Capability!$F$8</f>
        <v/>
      </c>
      <c r="E236">
        <f>Capability!$F$5-3*Capability!$F$8</f>
        <v/>
      </c>
      <c r="F236">
        <f>IF(ISNUMBER(Capability!C241),Capability!C241,NA())</f>
        <v/>
      </c>
      <c r="G236">
        <f>Capability!$F$7</f>
        <v/>
      </c>
      <c r="H236">
        <f>(1+3*0.8525/1.128379)*Capability!$F$7</f>
        <v/>
      </c>
      <c r="I236">
        <f>IF(ISNUMBER(B236),IF(OR(B236&gt;D236,B236&lt;E236),"OUT",""),"")</f>
        <v/>
      </c>
    </row>
    <row r="237">
      <c r="A237" t="n">
        <v>233</v>
      </c>
      <c r="B237">
        <f>IF(ISNUMBER(Capability!B242),Capability!B242,NA())</f>
        <v/>
      </c>
      <c r="C237">
        <f>Capability!$F$5</f>
        <v/>
      </c>
      <c r="D237">
        <f>Capability!$F$5+3*Capability!$F$8</f>
        <v/>
      </c>
      <c r="E237">
        <f>Capability!$F$5-3*Capability!$F$8</f>
        <v/>
      </c>
      <c r="F237">
        <f>IF(ISNUMBER(Capability!C242),Capability!C242,NA())</f>
        <v/>
      </c>
      <c r="G237">
        <f>Capability!$F$7</f>
        <v/>
      </c>
      <c r="H237">
        <f>(1+3*0.8525/1.128379)*Capability!$F$7</f>
        <v/>
      </c>
      <c r="I237">
        <f>IF(ISNUMBER(B237),IF(OR(B237&gt;D237,B237&lt;E237),"OUT",""),"")</f>
        <v/>
      </c>
    </row>
    <row r="238">
      <c r="A238" t="n">
        <v>234</v>
      </c>
      <c r="B238">
        <f>IF(ISNUMBER(Capability!B243),Capability!B243,NA())</f>
        <v/>
      </c>
      <c r="C238">
        <f>Capability!$F$5</f>
        <v/>
      </c>
      <c r="D238">
        <f>Capability!$F$5+3*Capability!$F$8</f>
        <v/>
      </c>
      <c r="E238">
        <f>Capability!$F$5-3*Capability!$F$8</f>
        <v/>
      </c>
      <c r="F238">
        <f>IF(ISNUMBER(Capability!C243),Capability!C243,NA())</f>
        <v/>
      </c>
      <c r="G238">
        <f>Capability!$F$7</f>
        <v/>
      </c>
      <c r="H238">
        <f>(1+3*0.8525/1.128379)*Capability!$F$7</f>
        <v/>
      </c>
      <c r="I238">
        <f>IF(ISNUMBER(B238),IF(OR(B238&gt;D238,B238&lt;E238),"OUT",""),"")</f>
        <v/>
      </c>
    </row>
    <row r="239">
      <c r="A239" t="n">
        <v>235</v>
      </c>
      <c r="B239">
        <f>IF(ISNUMBER(Capability!B244),Capability!B244,NA())</f>
        <v/>
      </c>
      <c r="C239">
        <f>Capability!$F$5</f>
        <v/>
      </c>
      <c r="D239">
        <f>Capability!$F$5+3*Capability!$F$8</f>
        <v/>
      </c>
      <c r="E239">
        <f>Capability!$F$5-3*Capability!$F$8</f>
        <v/>
      </c>
      <c r="F239">
        <f>IF(ISNUMBER(Capability!C244),Capability!C244,NA())</f>
        <v/>
      </c>
      <c r="G239">
        <f>Capability!$F$7</f>
        <v/>
      </c>
      <c r="H239">
        <f>(1+3*0.8525/1.128379)*Capability!$F$7</f>
        <v/>
      </c>
      <c r="I239">
        <f>IF(ISNUMBER(B239),IF(OR(B239&gt;D239,B239&lt;E239),"OUT",""),"")</f>
        <v/>
      </c>
    </row>
    <row r="240">
      <c r="A240" t="n">
        <v>236</v>
      </c>
      <c r="B240">
        <f>IF(ISNUMBER(Capability!B245),Capability!B245,NA())</f>
        <v/>
      </c>
      <c r="C240">
        <f>Capability!$F$5</f>
        <v/>
      </c>
      <c r="D240">
        <f>Capability!$F$5+3*Capability!$F$8</f>
        <v/>
      </c>
      <c r="E240">
        <f>Capability!$F$5-3*Capability!$F$8</f>
        <v/>
      </c>
      <c r="F240">
        <f>IF(ISNUMBER(Capability!C245),Capability!C245,NA())</f>
        <v/>
      </c>
      <c r="G240">
        <f>Capability!$F$7</f>
        <v/>
      </c>
      <c r="H240">
        <f>(1+3*0.8525/1.128379)*Capability!$F$7</f>
        <v/>
      </c>
      <c r="I240">
        <f>IF(ISNUMBER(B240),IF(OR(B240&gt;D240,B240&lt;E240),"OUT",""),"")</f>
        <v/>
      </c>
    </row>
    <row r="241">
      <c r="A241" t="n">
        <v>237</v>
      </c>
      <c r="B241">
        <f>IF(ISNUMBER(Capability!B246),Capability!B246,NA())</f>
        <v/>
      </c>
      <c r="C241">
        <f>Capability!$F$5</f>
        <v/>
      </c>
      <c r="D241">
        <f>Capability!$F$5+3*Capability!$F$8</f>
        <v/>
      </c>
      <c r="E241">
        <f>Capability!$F$5-3*Capability!$F$8</f>
        <v/>
      </c>
      <c r="F241">
        <f>IF(ISNUMBER(Capability!C246),Capability!C246,NA())</f>
        <v/>
      </c>
      <c r="G241">
        <f>Capability!$F$7</f>
        <v/>
      </c>
      <c r="H241">
        <f>(1+3*0.8525/1.128379)*Capability!$F$7</f>
        <v/>
      </c>
      <c r="I241">
        <f>IF(ISNUMBER(B241),IF(OR(B241&gt;D241,B241&lt;E241),"OUT",""),"")</f>
        <v/>
      </c>
    </row>
    <row r="242">
      <c r="A242" t="n">
        <v>238</v>
      </c>
      <c r="B242">
        <f>IF(ISNUMBER(Capability!B247),Capability!B247,NA())</f>
        <v/>
      </c>
      <c r="C242">
        <f>Capability!$F$5</f>
        <v/>
      </c>
      <c r="D242">
        <f>Capability!$F$5+3*Capability!$F$8</f>
        <v/>
      </c>
      <c r="E242">
        <f>Capability!$F$5-3*Capability!$F$8</f>
        <v/>
      </c>
      <c r="F242">
        <f>IF(ISNUMBER(Capability!C247),Capability!C247,NA())</f>
        <v/>
      </c>
      <c r="G242">
        <f>Capability!$F$7</f>
        <v/>
      </c>
      <c r="H242">
        <f>(1+3*0.8525/1.128379)*Capability!$F$7</f>
        <v/>
      </c>
      <c r="I242">
        <f>IF(ISNUMBER(B242),IF(OR(B242&gt;D242,B242&lt;E242),"OUT",""),"")</f>
        <v/>
      </c>
    </row>
    <row r="243">
      <c r="A243" t="n">
        <v>239</v>
      </c>
      <c r="B243">
        <f>IF(ISNUMBER(Capability!B248),Capability!B248,NA())</f>
        <v/>
      </c>
      <c r="C243">
        <f>Capability!$F$5</f>
        <v/>
      </c>
      <c r="D243">
        <f>Capability!$F$5+3*Capability!$F$8</f>
        <v/>
      </c>
      <c r="E243">
        <f>Capability!$F$5-3*Capability!$F$8</f>
        <v/>
      </c>
      <c r="F243">
        <f>IF(ISNUMBER(Capability!C248),Capability!C248,NA())</f>
        <v/>
      </c>
      <c r="G243">
        <f>Capability!$F$7</f>
        <v/>
      </c>
      <c r="H243">
        <f>(1+3*0.8525/1.128379)*Capability!$F$7</f>
        <v/>
      </c>
      <c r="I243">
        <f>IF(ISNUMBER(B243),IF(OR(B243&gt;D243,B243&lt;E243),"OUT",""),"")</f>
        <v/>
      </c>
    </row>
    <row r="244">
      <c r="A244" t="n">
        <v>240</v>
      </c>
      <c r="B244">
        <f>IF(ISNUMBER(Capability!B249),Capability!B249,NA())</f>
        <v/>
      </c>
      <c r="C244">
        <f>Capability!$F$5</f>
        <v/>
      </c>
      <c r="D244">
        <f>Capability!$F$5+3*Capability!$F$8</f>
        <v/>
      </c>
      <c r="E244">
        <f>Capability!$F$5-3*Capability!$F$8</f>
        <v/>
      </c>
      <c r="F244">
        <f>IF(ISNUMBER(Capability!C249),Capability!C249,NA())</f>
        <v/>
      </c>
      <c r="G244">
        <f>Capability!$F$7</f>
        <v/>
      </c>
      <c r="H244">
        <f>(1+3*0.8525/1.128379)*Capability!$F$7</f>
        <v/>
      </c>
      <c r="I244">
        <f>IF(ISNUMBER(B244),IF(OR(B244&gt;D244,B244&lt;E244),"OUT",""),"")</f>
        <v/>
      </c>
    </row>
    <row r="245">
      <c r="A245" t="n">
        <v>241</v>
      </c>
      <c r="B245">
        <f>IF(ISNUMBER(Capability!B250),Capability!B250,NA())</f>
        <v/>
      </c>
      <c r="C245">
        <f>Capability!$F$5</f>
        <v/>
      </c>
      <c r="D245">
        <f>Capability!$F$5+3*Capability!$F$8</f>
        <v/>
      </c>
      <c r="E245">
        <f>Capability!$F$5-3*Capability!$F$8</f>
        <v/>
      </c>
      <c r="F245">
        <f>IF(ISNUMBER(Capability!C250),Capability!C250,NA())</f>
        <v/>
      </c>
      <c r="G245">
        <f>Capability!$F$7</f>
        <v/>
      </c>
      <c r="H245">
        <f>(1+3*0.8525/1.128379)*Capability!$F$7</f>
        <v/>
      </c>
      <c r="I245">
        <f>IF(ISNUMBER(B245),IF(OR(B245&gt;D245,B245&lt;E245),"OUT",""),"")</f>
        <v/>
      </c>
    </row>
    <row r="246">
      <c r="A246" t="n">
        <v>242</v>
      </c>
      <c r="B246">
        <f>IF(ISNUMBER(Capability!B251),Capability!B251,NA())</f>
        <v/>
      </c>
      <c r="C246">
        <f>Capability!$F$5</f>
        <v/>
      </c>
      <c r="D246">
        <f>Capability!$F$5+3*Capability!$F$8</f>
        <v/>
      </c>
      <c r="E246">
        <f>Capability!$F$5-3*Capability!$F$8</f>
        <v/>
      </c>
      <c r="F246">
        <f>IF(ISNUMBER(Capability!C251),Capability!C251,NA())</f>
        <v/>
      </c>
      <c r="G246">
        <f>Capability!$F$7</f>
        <v/>
      </c>
      <c r="H246">
        <f>(1+3*0.8525/1.128379)*Capability!$F$7</f>
        <v/>
      </c>
      <c r="I246">
        <f>IF(ISNUMBER(B246),IF(OR(B246&gt;D246,B246&lt;E246),"OUT",""),"")</f>
        <v/>
      </c>
    </row>
    <row r="247">
      <c r="A247" t="n">
        <v>243</v>
      </c>
      <c r="B247">
        <f>IF(ISNUMBER(Capability!B252),Capability!B252,NA())</f>
        <v/>
      </c>
      <c r="C247">
        <f>Capability!$F$5</f>
        <v/>
      </c>
      <c r="D247">
        <f>Capability!$F$5+3*Capability!$F$8</f>
        <v/>
      </c>
      <c r="E247">
        <f>Capability!$F$5-3*Capability!$F$8</f>
        <v/>
      </c>
      <c r="F247">
        <f>IF(ISNUMBER(Capability!C252),Capability!C252,NA())</f>
        <v/>
      </c>
      <c r="G247">
        <f>Capability!$F$7</f>
        <v/>
      </c>
      <c r="H247">
        <f>(1+3*0.8525/1.128379)*Capability!$F$7</f>
        <v/>
      </c>
      <c r="I247">
        <f>IF(ISNUMBER(B247),IF(OR(B247&gt;D247,B247&lt;E247),"OUT",""),"")</f>
        <v/>
      </c>
    </row>
    <row r="248">
      <c r="A248" t="n">
        <v>244</v>
      </c>
      <c r="B248">
        <f>IF(ISNUMBER(Capability!B253),Capability!B253,NA())</f>
        <v/>
      </c>
      <c r="C248">
        <f>Capability!$F$5</f>
        <v/>
      </c>
      <c r="D248">
        <f>Capability!$F$5+3*Capability!$F$8</f>
        <v/>
      </c>
      <c r="E248">
        <f>Capability!$F$5-3*Capability!$F$8</f>
        <v/>
      </c>
      <c r="F248">
        <f>IF(ISNUMBER(Capability!C253),Capability!C253,NA())</f>
        <v/>
      </c>
      <c r="G248">
        <f>Capability!$F$7</f>
        <v/>
      </c>
      <c r="H248">
        <f>(1+3*0.8525/1.128379)*Capability!$F$7</f>
        <v/>
      </c>
      <c r="I248">
        <f>IF(ISNUMBER(B248),IF(OR(B248&gt;D248,B248&lt;E248),"OUT",""),"")</f>
        <v/>
      </c>
    </row>
    <row r="249">
      <c r="A249" t="n">
        <v>245</v>
      </c>
      <c r="B249">
        <f>IF(ISNUMBER(Capability!B254),Capability!B254,NA())</f>
        <v/>
      </c>
      <c r="C249">
        <f>Capability!$F$5</f>
        <v/>
      </c>
      <c r="D249">
        <f>Capability!$F$5+3*Capability!$F$8</f>
        <v/>
      </c>
      <c r="E249">
        <f>Capability!$F$5-3*Capability!$F$8</f>
        <v/>
      </c>
      <c r="F249">
        <f>IF(ISNUMBER(Capability!C254),Capability!C254,NA())</f>
        <v/>
      </c>
      <c r="G249">
        <f>Capability!$F$7</f>
        <v/>
      </c>
      <c r="H249">
        <f>(1+3*0.8525/1.128379)*Capability!$F$7</f>
        <v/>
      </c>
      <c r="I249">
        <f>IF(ISNUMBER(B249),IF(OR(B249&gt;D249,B249&lt;E249),"OUT",""),"")</f>
        <v/>
      </c>
    </row>
    <row r="250">
      <c r="A250" t="n">
        <v>246</v>
      </c>
      <c r="B250">
        <f>IF(ISNUMBER(Capability!B255),Capability!B255,NA())</f>
        <v/>
      </c>
      <c r="C250">
        <f>Capability!$F$5</f>
        <v/>
      </c>
      <c r="D250">
        <f>Capability!$F$5+3*Capability!$F$8</f>
        <v/>
      </c>
      <c r="E250">
        <f>Capability!$F$5-3*Capability!$F$8</f>
        <v/>
      </c>
      <c r="F250">
        <f>IF(ISNUMBER(Capability!C255),Capability!C255,NA())</f>
        <v/>
      </c>
      <c r="G250">
        <f>Capability!$F$7</f>
        <v/>
      </c>
      <c r="H250">
        <f>(1+3*0.8525/1.128379)*Capability!$F$7</f>
        <v/>
      </c>
      <c r="I250">
        <f>IF(ISNUMBER(B250),IF(OR(B250&gt;D250,B250&lt;E250),"OUT",""),"")</f>
        <v/>
      </c>
    </row>
    <row r="251">
      <c r="A251" t="n">
        <v>247</v>
      </c>
      <c r="B251">
        <f>IF(ISNUMBER(Capability!B256),Capability!B256,NA())</f>
        <v/>
      </c>
      <c r="C251">
        <f>Capability!$F$5</f>
        <v/>
      </c>
      <c r="D251">
        <f>Capability!$F$5+3*Capability!$F$8</f>
        <v/>
      </c>
      <c r="E251">
        <f>Capability!$F$5-3*Capability!$F$8</f>
        <v/>
      </c>
      <c r="F251">
        <f>IF(ISNUMBER(Capability!C256),Capability!C256,NA())</f>
        <v/>
      </c>
      <c r="G251">
        <f>Capability!$F$7</f>
        <v/>
      </c>
      <c r="H251">
        <f>(1+3*0.8525/1.128379)*Capability!$F$7</f>
        <v/>
      </c>
      <c r="I251">
        <f>IF(ISNUMBER(B251),IF(OR(B251&gt;D251,B251&lt;E251),"OUT",""),"")</f>
        <v/>
      </c>
    </row>
    <row r="252">
      <c r="A252" t="n">
        <v>248</v>
      </c>
      <c r="B252">
        <f>IF(ISNUMBER(Capability!B257),Capability!B257,NA())</f>
        <v/>
      </c>
      <c r="C252">
        <f>Capability!$F$5</f>
        <v/>
      </c>
      <c r="D252">
        <f>Capability!$F$5+3*Capability!$F$8</f>
        <v/>
      </c>
      <c r="E252">
        <f>Capability!$F$5-3*Capability!$F$8</f>
        <v/>
      </c>
      <c r="F252">
        <f>IF(ISNUMBER(Capability!C257),Capability!C257,NA())</f>
        <v/>
      </c>
      <c r="G252">
        <f>Capability!$F$7</f>
        <v/>
      </c>
      <c r="H252">
        <f>(1+3*0.8525/1.128379)*Capability!$F$7</f>
        <v/>
      </c>
      <c r="I252">
        <f>IF(ISNUMBER(B252),IF(OR(B252&gt;D252,B252&lt;E252),"OUT",""),"")</f>
        <v/>
      </c>
    </row>
    <row r="253">
      <c r="A253" t="n">
        <v>249</v>
      </c>
      <c r="B253">
        <f>IF(ISNUMBER(Capability!B258),Capability!B258,NA())</f>
        <v/>
      </c>
      <c r="C253">
        <f>Capability!$F$5</f>
        <v/>
      </c>
      <c r="D253">
        <f>Capability!$F$5+3*Capability!$F$8</f>
        <v/>
      </c>
      <c r="E253">
        <f>Capability!$F$5-3*Capability!$F$8</f>
        <v/>
      </c>
      <c r="F253">
        <f>IF(ISNUMBER(Capability!C258),Capability!C258,NA())</f>
        <v/>
      </c>
      <c r="G253">
        <f>Capability!$F$7</f>
        <v/>
      </c>
      <c r="H253">
        <f>(1+3*0.8525/1.128379)*Capability!$F$7</f>
        <v/>
      </c>
      <c r="I253">
        <f>IF(ISNUMBER(B253),IF(OR(B253&gt;D253,B253&lt;E253),"OUT",""),"")</f>
        <v/>
      </c>
    </row>
    <row r="254">
      <c r="A254" t="n">
        <v>250</v>
      </c>
      <c r="B254">
        <f>IF(ISNUMBER(Capability!B259),Capability!B259,NA())</f>
        <v/>
      </c>
      <c r="C254">
        <f>Capability!$F$5</f>
        <v/>
      </c>
      <c r="D254">
        <f>Capability!$F$5+3*Capability!$F$8</f>
        <v/>
      </c>
      <c r="E254">
        <f>Capability!$F$5-3*Capability!$F$8</f>
        <v/>
      </c>
      <c r="F254">
        <f>IF(ISNUMBER(Capability!C259),Capability!C259,NA())</f>
        <v/>
      </c>
      <c r="G254">
        <f>Capability!$F$7</f>
        <v/>
      </c>
      <c r="H254">
        <f>(1+3*0.8525/1.128379)*Capability!$F$7</f>
        <v/>
      </c>
      <c r="I254">
        <f>IF(ISNUMBER(B254),IF(OR(B254&gt;D254,B254&lt;E254),"OUT",""),"")</f>
        <v/>
      </c>
    </row>
    <row r="255">
      <c r="A255" t="n">
        <v>251</v>
      </c>
      <c r="B255">
        <f>IF(ISNUMBER(Capability!B260),Capability!B260,NA())</f>
        <v/>
      </c>
      <c r="C255">
        <f>Capability!$F$5</f>
        <v/>
      </c>
      <c r="D255">
        <f>Capability!$F$5+3*Capability!$F$8</f>
        <v/>
      </c>
      <c r="E255">
        <f>Capability!$F$5-3*Capability!$F$8</f>
        <v/>
      </c>
      <c r="F255">
        <f>IF(ISNUMBER(Capability!C260),Capability!C260,NA())</f>
        <v/>
      </c>
      <c r="G255">
        <f>Capability!$F$7</f>
        <v/>
      </c>
      <c r="H255">
        <f>(1+3*0.8525/1.128379)*Capability!$F$7</f>
        <v/>
      </c>
      <c r="I255">
        <f>IF(ISNUMBER(B255),IF(OR(B255&gt;D255,B255&lt;E255),"OUT",""),"")</f>
        <v/>
      </c>
    </row>
    <row r="256">
      <c r="A256" t="n">
        <v>252</v>
      </c>
      <c r="B256">
        <f>IF(ISNUMBER(Capability!B261),Capability!B261,NA())</f>
        <v/>
      </c>
      <c r="C256">
        <f>Capability!$F$5</f>
        <v/>
      </c>
      <c r="D256">
        <f>Capability!$F$5+3*Capability!$F$8</f>
        <v/>
      </c>
      <c r="E256">
        <f>Capability!$F$5-3*Capability!$F$8</f>
        <v/>
      </c>
      <c r="F256">
        <f>IF(ISNUMBER(Capability!C261),Capability!C261,NA())</f>
        <v/>
      </c>
      <c r="G256">
        <f>Capability!$F$7</f>
        <v/>
      </c>
      <c r="H256">
        <f>(1+3*0.8525/1.128379)*Capability!$F$7</f>
        <v/>
      </c>
      <c r="I256">
        <f>IF(ISNUMBER(B256),IF(OR(B256&gt;D256,B256&lt;E256),"OUT",""),"")</f>
        <v/>
      </c>
    </row>
    <row r="257">
      <c r="A257" t="n">
        <v>253</v>
      </c>
      <c r="B257">
        <f>IF(ISNUMBER(Capability!B262),Capability!B262,NA())</f>
        <v/>
      </c>
      <c r="C257">
        <f>Capability!$F$5</f>
        <v/>
      </c>
      <c r="D257">
        <f>Capability!$F$5+3*Capability!$F$8</f>
        <v/>
      </c>
      <c r="E257">
        <f>Capability!$F$5-3*Capability!$F$8</f>
        <v/>
      </c>
      <c r="F257">
        <f>IF(ISNUMBER(Capability!C262),Capability!C262,NA())</f>
        <v/>
      </c>
      <c r="G257">
        <f>Capability!$F$7</f>
        <v/>
      </c>
      <c r="H257">
        <f>(1+3*0.8525/1.128379)*Capability!$F$7</f>
        <v/>
      </c>
      <c r="I257">
        <f>IF(ISNUMBER(B257),IF(OR(B257&gt;D257,B257&lt;E257),"OUT",""),"")</f>
        <v/>
      </c>
    </row>
    <row r="258">
      <c r="A258" t="n">
        <v>254</v>
      </c>
      <c r="B258">
        <f>IF(ISNUMBER(Capability!B263),Capability!B263,NA())</f>
        <v/>
      </c>
      <c r="C258">
        <f>Capability!$F$5</f>
        <v/>
      </c>
      <c r="D258">
        <f>Capability!$F$5+3*Capability!$F$8</f>
        <v/>
      </c>
      <c r="E258">
        <f>Capability!$F$5-3*Capability!$F$8</f>
        <v/>
      </c>
      <c r="F258">
        <f>IF(ISNUMBER(Capability!C263),Capability!C263,NA())</f>
        <v/>
      </c>
      <c r="G258">
        <f>Capability!$F$7</f>
        <v/>
      </c>
      <c r="H258">
        <f>(1+3*0.8525/1.128379)*Capability!$F$7</f>
        <v/>
      </c>
      <c r="I258">
        <f>IF(ISNUMBER(B258),IF(OR(B258&gt;D258,B258&lt;E258),"OUT",""),"")</f>
        <v/>
      </c>
    </row>
    <row r="259">
      <c r="A259" t="n">
        <v>255</v>
      </c>
      <c r="B259">
        <f>IF(ISNUMBER(Capability!B264),Capability!B264,NA())</f>
        <v/>
      </c>
      <c r="C259">
        <f>Capability!$F$5</f>
        <v/>
      </c>
      <c r="D259">
        <f>Capability!$F$5+3*Capability!$F$8</f>
        <v/>
      </c>
      <c r="E259">
        <f>Capability!$F$5-3*Capability!$F$8</f>
        <v/>
      </c>
      <c r="F259">
        <f>IF(ISNUMBER(Capability!C264),Capability!C264,NA())</f>
        <v/>
      </c>
      <c r="G259">
        <f>Capability!$F$7</f>
        <v/>
      </c>
      <c r="H259">
        <f>(1+3*0.8525/1.128379)*Capability!$F$7</f>
        <v/>
      </c>
      <c r="I259">
        <f>IF(ISNUMBER(B259),IF(OR(B259&gt;D259,B259&lt;E259),"OUT",""),"")</f>
        <v/>
      </c>
    </row>
    <row r="260">
      <c r="A260" t="n">
        <v>256</v>
      </c>
      <c r="B260">
        <f>IF(ISNUMBER(Capability!B265),Capability!B265,NA())</f>
        <v/>
      </c>
      <c r="C260">
        <f>Capability!$F$5</f>
        <v/>
      </c>
      <c r="D260">
        <f>Capability!$F$5+3*Capability!$F$8</f>
        <v/>
      </c>
      <c r="E260">
        <f>Capability!$F$5-3*Capability!$F$8</f>
        <v/>
      </c>
      <c r="F260">
        <f>IF(ISNUMBER(Capability!C265),Capability!C265,NA())</f>
        <v/>
      </c>
      <c r="G260">
        <f>Capability!$F$7</f>
        <v/>
      </c>
      <c r="H260">
        <f>(1+3*0.8525/1.128379)*Capability!$F$7</f>
        <v/>
      </c>
      <c r="I260">
        <f>IF(ISNUMBER(B260),IF(OR(B260&gt;D260,B260&lt;E260),"OUT",""),"")</f>
        <v/>
      </c>
    </row>
    <row r="261">
      <c r="A261" t="n">
        <v>257</v>
      </c>
      <c r="B261">
        <f>IF(ISNUMBER(Capability!B266),Capability!B266,NA())</f>
        <v/>
      </c>
      <c r="C261">
        <f>Capability!$F$5</f>
        <v/>
      </c>
      <c r="D261">
        <f>Capability!$F$5+3*Capability!$F$8</f>
        <v/>
      </c>
      <c r="E261">
        <f>Capability!$F$5-3*Capability!$F$8</f>
        <v/>
      </c>
      <c r="F261">
        <f>IF(ISNUMBER(Capability!C266),Capability!C266,NA())</f>
        <v/>
      </c>
      <c r="G261">
        <f>Capability!$F$7</f>
        <v/>
      </c>
      <c r="H261">
        <f>(1+3*0.8525/1.128379)*Capability!$F$7</f>
        <v/>
      </c>
      <c r="I261">
        <f>IF(ISNUMBER(B261),IF(OR(B261&gt;D261,B261&lt;E261),"OUT",""),"")</f>
        <v/>
      </c>
    </row>
    <row r="262">
      <c r="A262" t="n">
        <v>258</v>
      </c>
      <c r="B262">
        <f>IF(ISNUMBER(Capability!B267),Capability!B267,NA())</f>
        <v/>
      </c>
      <c r="C262">
        <f>Capability!$F$5</f>
        <v/>
      </c>
      <c r="D262">
        <f>Capability!$F$5+3*Capability!$F$8</f>
        <v/>
      </c>
      <c r="E262">
        <f>Capability!$F$5-3*Capability!$F$8</f>
        <v/>
      </c>
      <c r="F262">
        <f>IF(ISNUMBER(Capability!C267),Capability!C267,NA())</f>
        <v/>
      </c>
      <c r="G262">
        <f>Capability!$F$7</f>
        <v/>
      </c>
      <c r="H262">
        <f>(1+3*0.8525/1.128379)*Capability!$F$7</f>
        <v/>
      </c>
      <c r="I262">
        <f>IF(ISNUMBER(B262),IF(OR(B262&gt;D262,B262&lt;E262),"OUT",""),"")</f>
        <v/>
      </c>
    </row>
    <row r="263">
      <c r="A263" t="n">
        <v>259</v>
      </c>
      <c r="B263">
        <f>IF(ISNUMBER(Capability!B268),Capability!B268,NA())</f>
        <v/>
      </c>
      <c r="C263">
        <f>Capability!$F$5</f>
        <v/>
      </c>
      <c r="D263">
        <f>Capability!$F$5+3*Capability!$F$8</f>
        <v/>
      </c>
      <c r="E263">
        <f>Capability!$F$5-3*Capability!$F$8</f>
        <v/>
      </c>
      <c r="F263">
        <f>IF(ISNUMBER(Capability!C268),Capability!C268,NA())</f>
        <v/>
      </c>
      <c r="G263">
        <f>Capability!$F$7</f>
        <v/>
      </c>
      <c r="H263">
        <f>(1+3*0.8525/1.128379)*Capability!$F$7</f>
        <v/>
      </c>
      <c r="I263">
        <f>IF(ISNUMBER(B263),IF(OR(B263&gt;D263,B263&lt;E263),"OUT",""),"")</f>
        <v/>
      </c>
    </row>
    <row r="264">
      <c r="A264" t="n">
        <v>260</v>
      </c>
      <c r="B264">
        <f>IF(ISNUMBER(Capability!B269),Capability!B269,NA())</f>
        <v/>
      </c>
      <c r="C264">
        <f>Capability!$F$5</f>
        <v/>
      </c>
      <c r="D264">
        <f>Capability!$F$5+3*Capability!$F$8</f>
        <v/>
      </c>
      <c r="E264">
        <f>Capability!$F$5-3*Capability!$F$8</f>
        <v/>
      </c>
      <c r="F264">
        <f>IF(ISNUMBER(Capability!C269),Capability!C269,NA())</f>
        <v/>
      </c>
      <c r="G264">
        <f>Capability!$F$7</f>
        <v/>
      </c>
      <c r="H264">
        <f>(1+3*0.8525/1.128379)*Capability!$F$7</f>
        <v/>
      </c>
      <c r="I264">
        <f>IF(ISNUMBER(B264),IF(OR(B264&gt;D264,B264&lt;E264),"OUT",""),"")</f>
        <v/>
      </c>
    </row>
    <row r="265">
      <c r="A265" t="n">
        <v>261</v>
      </c>
      <c r="B265">
        <f>IF(ISNUMBER(Capability!B270),Capability!B270,NA())</f>
        <v/>
      </c>
      <c r="C265">
        <f>Capability!$F$5</f>
        <v/>
      </c>
      <c r="D265">
        <f>Capability!$F$5+3*Capability!$F$8</f>
        <v/>
      </c>
      <c r="E265">
        <f>Capability!$F$5-3*Capability!$F$8</f>
        <v/>
      </c>
      <c r="F265">
        <f>IF(ISNUMBER(Capability!C270),Capability!C270,NA())</f>
        <v/>
      </c>
      <c r="G265">
        <f>Capability!$F$7</f>
        <v/>
      </c>
      <c r="H265">
        <f>(1+3*0.8525/1.128379)*Capability!$F$7</f>
        <v/>
      </c>
      <c r="I265">
        <f>IF(ISNUMBER(B265),IF(OR(B265&gt;D265,B265&lt;E265),"OUT",""),"")</f>
        <v/>
      </c>
    </row>
    <row r="266">
      <c r="A266" t="n">
        <v>262</v>
      </c>
      <c r="B266">
        <f>IF(ISNUMBER(Capability!B271),Capability!B271,NA())</f>
        <v/>
      </c>
      <c r="C266">
        <f>Capability!$F$5</f>
        <v/>
      </c>
      <c r="D266">
        <f>Capability!$F$5+3*Capability!$F$8</f>
        <v/>
      </c>
      <c r="E266">
        <f>Capability!$F$5-3*Capability!$F$8</f>
        <v/>
      </c>
      <c r="F266">
        <f>IF(ISNUMBER(Capability!C271),Capability!C271,NA())</f>
        <v/>
      </c>
      <c r="G266">
        <f>Capability!$F$7</f>
        <v/>
      </c>
      <c r="H266">
        <f>(1+3*0.8525/1.128379)*Capability!$F$7</f>
        <v/>
      </c>
      <c r="I266">
        <f>IF(ISNUMBER(B266),IF(OR(B266&gt;D266,B266&lt;E266),"OUT",""),"")</f>
        <v/>
      </c>
    </row>
    <row r="267">
      <c r="A267" t="n">
        <v>263</v>
      </c>
      <c r="B267">
        <f>IF(ISNUMBER(Capability!B272),Capability!B272,NA())</f>
        <v/>
      </c>
      <c r="C267">
        <f>Capability!$F$5</f>
        <v/>
      </c>
      <c r="D267">
        <f>Capability!$F$5+3*Capability!$F$8</f>
        <v/>
      </c>
      <c r="E267">
        <f>Capability!$F$5-3*Capability!$F$8</f>
        <v/>
      </c>
      <c r="F267">
        <f>IF(ISNUMBER(Capability!C272),Capability!C272,NA())</f>
        <v/>
      </c>
      <c r="G267">
        <f>Capability!$F$7</f>
        <v/>
      </c>
      <c r="H267">
        <f>(1+3*0.8525/1.128379)*Capability!$F$7</f>
        <v/>
      </c>
      <c r="I267">
        <f>IF(ISNUMBER(B267),IF(OR(B267&gt;D267,B267&lt;E267),"OUT",""),"")</f>
        <v/>
      </c>
    </row>
    <row r="268">
      <c r="A268" t="n">
        <v>264</v>
      </c>
      <c r="B268">
        <f>IF(ISNUMBER(Capability!B273),Capability!B273,NA())</f>
        <v/>
      </c>
      <c r="C268">
        <f>Capability!$F$5</f>
        <v/>
      </c>
      <c r="D268">
        <f>Capability!$F$5+3*Capability!$F$8</f>
        <v/>
      </c>
      <c r="E268">
        <f>Capability!$F$5-3*Capability!$F$8</f>
        <v/>
      </c>
      <c r="F268">
        <f>IF(ISNUMBER(Capability!C273),Capability!C273,NA())</f>
        <v/>
      </c>
      <c r="G268">
        <f>Capability!$F$7</f>
        <v/>
      </c>
      <c r="H268">
        <f>(1+3*0.8525/1.128379)*Capability!$F$7</f>
        <v/>
      </c>
      <c r="I268">
        <f>IF(ISNUMBER(B268),IF(OR(B268&gt;D268,B268&lt;E268),"OUT",""),"")</f>
        <v/>
      </c>
    </row>
    <row r="269">
      <c r="A269" t="n">
        <v>265</v>
      </c>
      <c r="B269">
        <f>IF(ISNUMBER(Capability!B274),Capability!B274,NA())</f>
        <v/>
      </c>
      <c r="C269">
        <f>Capability!$F$5</f>
        <v/>
      </c>
      <c r="D269">
        <f>Capability!$F$5+3*Capability!$F$8</f>
        <v/>
      </c>
      <c r="E269">
        <f>Capability!$F$5-3*Capability!$F$8</f>
        <v/>
      </c>
      <c r="F269">
        <f>IF(ISNUMBER(Capability!C274),Capability!C274,NA())</f>
        <v/>
      </c>
      <c r="G269">
        <f>Capability!$F$7</f>
        <v/>
      </c>
      <c r="H269">
        <f>(1+3*0.8525/1.128379)*Capability!$F$7</f>
        <v/>
      </c>
      <c r="I269">
        <f>IF(ISNUMBER(B269),IF(OR(B269&gt;D269,B269&lt;E269),"OUT",""),"")</f>
        <v/>
      </c>
    </row>
    <row r="270">
      <c r="A270" t="n">
        <v>266</v>
      </c>
      <c r="B270">
        <f>IF(ISNUMBER(Capability!B275),Capability!B275,NA())</f>
        <v/>
      </c>
      <c r="C270">
        <f>Capability!$F$5</f>
        <v/>
      </c>
      <c r="D270">
        <f>Capability!$F$5+3*Capability!$F$8</f>
        <v/>
      </c>
      <c r="E270">
        <f>Capability!$F$5-3*Capability!$F$8</f>
        <v/>
      </c>
      <c r="F270">
        <f>IF(ISNUMBER(Capability!C275),Capability!C275,NA())</f>
        <v/>
      </c>
      <c r="G270">
        <f>Capability!$F$7</f>
        <v/>
      </c>
      <c r="H270">
        <f>(1+3*0.8525/1.128379)*Capability!$F$7</f>
        <v/>
      </c>
      <c r="I270">
        <f>IF(ISNUMBER(B270),IF(OR(B270&gt;D270,B270&lt;E270),"OUT",""),"")</f>
        <v/>
      </c>
    </row>
    <row r="271">
      <c r="A271" t="n">
        <v>267</v>
      </c>
      <c r="B271">
        <f>IF(ISNUMBER(Capability!B276),Capability!B276,NA())</f>
        <v/>
      </c>
      <c r="C271">
        <f>Capability!$F$5</f>
        <v/>
      </c>
      <c r="D271">
        <f>Capability!$F$5+3*Capability!$F$8</f>
        <v/>
      </c>
      <c r="E271">
        <f>Capability!$F$5-3*Capability!$F$8</f>
        <v/>
      </c>
      <c r="F271">
        <f>IF(ISNUMBER(Capability!C276),Capability!C276,NA())</f>
        <v/>
      </c>
      <c r="G271">
        <f>Capability!$F$7</f>
        <v/>
      </c>
      <c r="H271">
        <f>(1+3*0.8525/1.128379)*Capability!$F$7</f>
        <v/>
      </c>
      <c r="I271">
        <f>IF(ISNUMBER(B271),IF(OR(B271&gt;D271,B271&lt;E271),"OUT",""),"")</f>
        <v/>
      </c>
    </row>
    <row r="272">
      <c r="A272" t="n">
        <v>268</v>
      </c>
      <c r="B272">
        <f>IF(ISNUMBER(Capability!B277),Capability!B277,NA())</f>
        <v/>
      </c>
      <c r="C272">
        <f>Capability!$F$5</f>
        <v/>
      </c>
      <c r="D272">
        <f>Capability!$F$5+3*Capability!$F$8</f>
        <v/>
      </c>
      <c r="E272">
        <f>Capability!$F$5-3*Capability!$F$8</f>
        <v/>
      </c>
      <c r="F272">
        <f>IF(ISNUMBER(Capability!C277),Capability!C277,NA())</f>
        <v/>
      </c>
      <c r="G272">
        <f>Capability!$F$7</f>
        <v/>
      </c>
      <c r="H272">
        <f>(1+3*0.8525/1.128379)*Capability!$F$7</f>
        <v/>
      </c>
      <c r="I272">
        <f>IF(ISNUMBER(B272),IF(OR(B272&gt;D272,B272&lt;E272),"OUT",""),"")</f>
        <v/>
      </c>
    </row>
    <row r="273">
      <c r="A273" t="n">
        <v>269</v>
      </c>
      <c r="B273">
        <f>IF(ISNUMBER(Capability!B278),Capability!B278,NA())</f>
        <v/>
      </c>
      <c r="C273">
        <f>Capability!$F$5</f>
        <v/>
      </c>
      <c r="D273">
        <f>Capability!$F$5+3*Capability!$F$8</f>
        <v/>
      </c>
      <c r="E273">
        <f>Capability!$F$5-3*Capability!$F$8</f>
        <v/>
      </c>
      <c r="F273">
        <f>IF(ISNUMBER(Capability!C278),Capability!C278,NA())</f>
        <v/>
      </c>
      <c r="G273">
        <f>Capability!$F$7</f>
        <v/>
      </c>
      <c r="H273">
        <f>(1+3*0.8525/1.128379)*Capability!$F$7</f>
        <v/>
      </c>
      <c r="I273">
        <f>IF(ISNUMBER(B273),IF(OR(B273&gt;D273,B273&lt;E273),"OUT",""),"")</f>
        <v/>
      </c>
    </row>
    <row r="274">
      <c r="A274" t="n">
        <v>270</v>
      </c>
      <c r="B274">
        <f>IF(ISNUMBER(Capability!B279),Capability!B279,NA())</f>
        <v/>
      </c>
      <c r="C274">
        <f>Capability!$F$5</f>
        <v/>
      </c>
      <c r="D274">
        <f>Capability!$F$5+3*Capability!$F$8</f>
        <v/>
      </c>
      <c r="E274">
        <f>Capability!$F$5-3*Capability!$F$8</f>
        <v/>
      </c>
      <c r="F274">
        <f>IF(ISNUMBER(Capability!C279),Capability!C279,NA())</f>
        <v/>
      </c>
      <c r="G274">
        <f>Capability!$F$7</f>
        <v/>
      </c>
      <c r="H274">
        <f>(1+3*0.8525/1.128379)*Capability!$F$7</f>
        <v/>
      </c>
      <c r="I274">
        <f>IF(ISNUMBER(B274),IF(OR(B274&gt;D274,B274&lt;E274),"OUT",""),"")</f>
        <v/>
      </c>
    </row>
    <row r="275">
      <c r="A275" t="n">
        <v>271</v>
      </c>
      <c r="B275">
        <f>IF(ISNUMBER(Capability!B280),Capability!B280,NA())</f>
        <v/>
      </c>
      <c r="C275">
        <f>Capability!$F$5</f>
        <v/>
      </c>
      <c r="D275">
        <f>Capability!$F$5+3*Capability!$F$8</f>
        <v/>
      </c>
      <c r="E275">
        <f>Capability!$F$5-3*Capability!$F$8</f>
        <v/>
      </c>
      <c r="F275">
        <f>IF(ISNUMBER(Capability!C280),Capability!C280,NA())</f>
        <v/>
      </c>
      <c r="G275">
        <f>Capability!$F$7</f>
        <v/>
      </c>
      <c r="H275">
        <f>(1+3*0.8525/1.128379)*Capability!$F$7</f>
        <v/>
      </c>
      <c r="I275">
        <f>IF(ISNUMBER(B275),IF(OR(B275&gt;D275,B275&lt;E275),"OUT",""),"")</f>
        <v/>
      </c>
    </row>
    <row r="276">
      <c r="A276" t="n">
        <v>272</v>
      </c>
      <c r="B276">
        <f>IF(ISNUMBER(Capability!B281),Capability!B281,NA())</f>
        <v/>
      </c>
      <c r="C276">
        <f>Capability!$F$5</f>
        <v/>
      </c>
      <c r="D276">
        <f>Capability!$F$5+3*Capability!$F$8</f>
        <v/>
      </c>
      <c r="E276">
        <f>Capability!$F$5-3*Capability!$F$8</f>
        <v/>
      </c>
      <c r="F276">
        <f>IF(ISNUMBER(Capability!C281),Capability!C281,NA())</f>
        <v/>
      </c>
      <c r="G276">
        <f>Capability!$F$7</f>
        <v/>
      </c>
      <c r="H276">
        <f>(1+3*0.8525/1.128379)*Capability!$F$7</f>
        <v/>
      </c>
      <c r="I276">
        <f>IF(ISNUMBER(B276),IF(OR(B276&gt;D276,B276&lt;E276),"OUT",""),"")</f>
        <v/>
      </c>
    </row>
    <row r="277">
      <c r="A277" t="n">
        <v>273</v>
      </c>
      <c r="B277">
        <f>IF(ISNUMBER(Capability!B282),Capability!B282,NA())</f>
        <v/>
      </c>
      <c r="C277">
        <f>Capability!$F$5</f>
        <v/>
      </c>
      <c r="D277">
        <f>Capability!$F$5+3*Capability!$F$8</f>
        <v/>
      </c>
      <c r="E277">
        <f>Capability!$F$5-3*Capability!$F$8</f>
        <v/>
      </c>
      <c r="F277">
        <f>IF(ISNUMBER(Capability!C282),Capability!C282,NA())</f>
        <v/>
      </c>
      <c r="G277">
        <f>Capability!$F$7</f>
        <v/>
      </c>
      <c r="H277">
        <f>(1+3*0.8525/1.128379)*Capability!$F$7</f>
        <v/>
      </c>
      <c r="I277">
        <f>IF(ISNUMBER(B277),IF(OR(B277&gt;D277,B277&lt;E277),"OUT",""),"")</f>
        <v/>
      </c>
    </row>
    <row r="278">
      <c r="A278" t="n">
        <v>274</v>
      </c>
      <c r="B278">
        <f>IF(ISNUMBER(Capability!B283),Capability!B283,NA())</f>
        <v/>
      </c>
      <c r="C278">
        <f>Capability!$F$5</f>
        <v/>
      </c>
      <c r="D278">
        <f>Capability!$F$5+3*Capability!$F$8</f>
        <v/>
      </c>
      <c r="E278">
        <f>Capability!$F$5-3*Capability!$F$8</f>
        <v/>
      </c>
      <c r="F278">
        <f>IF(ISNUMBER(Capability!C283),Capability!C283,NA())</f>
        <v/>
      </c>
      <c r="G278">
        <f>Capability!$F$7</f>
        <v/>
      </c>
      <c r="H278">
        <f>(1+3*0.8525/1.128379)*Capability!$F$7</f>
        <v/>
      </c>
      <c r="I278">
        <f>IF(ISNUMBER(B278),IF(OR(B278&gt;D278,B278&lt;E278),"OUT",""),"")</f>
        <v/>
      </c>
    </row>
    <row r="279">
      <c r="A279" t="n">
        <v>275</v>
      </c>
      <c r="B279">
        <f>IF(ISNUMBER(Capability!B284),Capability!B284,NA())</f>
        <v/>
      </c>
      <c r="C279">
        <f>Capability!$F$5</f>
        <v/>
      </c>
      <c r="D279">
        <f>Capability!$F$5+3*Capability!$F$8</f>
        <v/>
      </c>
      <c r="E279">
        <f>Capability!$F$5-3*Capability!$F$8</f>
        <v/>
      </c>
      <c r="F279">
        <f>IF(ISNUMBER(Capability!C284),Capability!C284,NA())</f>
        <v/>
      </c>
      <c r="G279">
        <f>Capability!$F$7</f>
        <v/>
      </c>
      <c r="H279">
        <f>(1+3*0.8525/1.128379)*Capability!$F$7</f>
        <v/>
      </c>
      <c r="I279">
        <f>IF(ISNUMBER(B279),IF(OR(B279&gt;D279,B279&lt;E279),"OUT",""),"")</f>
        <v/>
      </c>
    </row>
    <row r="280">
      <c r="A280" t="n">
        <v>276</v>
      </c>
      <c r="B280">
        <f>IF(ISNUMBER(Capability!B285),Capability!B285,NA())</f>
        <v/>
      </c>
      <c r="C280">
        <f>Capability!$F$5</f>
        <v/>
      </c>
      <c r="D280">
        <f>Capability!$F$5+3*Capability!$F$8</f>
        <v/>
      </c>
      <c r="E280">
        <f>Capability!$F$5-3*Capability!$F$8</f>
        <v/>
      </c>
      <c r="F280">
        <f>IF(ISNUMBER(Capability!C285),Capability!C285,NA())</f>
        <v/>
      </c>
      <c r="G280">
        <f>Capability!$F$7</f>
        <v/>
      </c>
      <c r="H280">
        <f>(1+3*0.8525/1.128379)*Capability!$F$7</f>
        <v/>
      </c>
      <c r="I280">
        <f>IF(ISNUMBER(B280),IF(OR(B280&gt;D280,B280&lt;E280),"OUT",""),"")</f>
        <v/>
      </c>
    </row>
    <row r="281">
      <c r="A281" t="n">
        <v>277</v>
      </c>
      <c r="B281">
        <f>IF(ISNUMBER(Capability!B286),Capability!B286,NA())</f>
        <v/>
      </c>
      <c r="C281">
        <f>Capability!$F$5</f>
        <v/>
      </c>
      <c r="D281">
        <f>Capability!$F$5+3*Capability!$F$8</f>
        <v/>
      </c>
      <c r="E281">
        <f>Capability!$F$5-3*Capability!$F$8</f>
        <v/>
      </c>
      <c r="F281">
        <f>IF(ISNUMBER(Capability!C286),Capability!C286,NA())</f>
        <v/>
      </c>
      <c r="G281">
        <f>Capability!$F$7</f>
        <v/>
      </c>
      <c r="H281">
        <f>(1+3*0.8525/1.128379)*Capability!$F$7</f>
        <v/>
      </c>
      <c r="I281">
        <f>IF(ISNUMBER(B281),IF(OR(B281&gt;D281,B281&lt;E281),"OUT",""),"")</f>
        <v/>
      </c>
    </row>
    <row r="282">
      <c r="A282" t="n">
        <v>278</v>
      </c>
      <c r="B282">
        <f>IF(ISNUMBER(Capability!B287),Capability!B287,NA())</f>
        <v/>
      </c>
      <c r="C282">
        <f>Capability!$F$5</f>
        <v/>
      </c>
      <c r="D282">
        <f>Capability!$F$5+3*Capability!$F$8</f>
        <v/>
      </c>
      <c r="E282">
        <f>Capability!$F$5-3*Capability!$F$8</f>
        <v/>
      </c>
      <c r="F282">
        <f>IF(ISNUMBER(Capability!C287),Capability!C287,NA())</f>
        <v/>
      </c>
      <c r="G282">
        <f>Capability!$F$7</f>
        <v/>
      </c>
      <c r="H282">
        <f>(1+3*0.8525/1.128379)*Capability!$F$7</f>
        <v/>
      </c>
      <c r="I282">
        <f>IF(ISNUMBER(B282),IF(OR(B282&gt;D282,B282&lt;E282),"OUT",""),"")</f>
        <v/>
      </c>
    </row>
    <row r="283">
      <c r="A283" t="n">
        <v>279</v>
      </c>
      <c r="B283">
        <f>IF(ISNUMBER(Capability!B288),Capability!B288,NA())</f>
        <v/>
      </c>
      <c r="C283">
        <f>Capability!$F$5</f>
        <v/>
      </c>
      <c r="D283">
        <f>Capability!$F$5+3*Capability!$F$8</f>
        <v/>
      </c>
      <c r="E283">
        <f>Capability!$F$5-3*Capability!$F$8</f>
        <v/>
      </c>
      <c r="F283">
        <f>IF(ISNUMBER(Capability!C288),Capability!C288,NA())</f>
        <v/>
      </c>
      <c r="G283">
        <f>Capability!$F$7</f>
        <v/>
      </c>
      <c r="H283">
        <f>(1+3*0.8525/1.128379)*Capability!$F$7</f>
        <v/>
      </c>
      <c r="I283">
        <f>IF(ISNUMBER(B283),IF(OR(B283&gt;D283,B283&lt;E283),"OUT",""),"")</f>
        <v/>
      </c>
    </row>
    <row r="284">
      <c r="A284" t="n">
        <v>280</v>
      </c>
      <c r="B284">
        <f>IF(ISNUMBER(Capability!B289),Capability!B289,NA())</f>
        <v/>
      </c>
      <c r="C284">
        <f>Capability!$F$5</f>
        <v/>
      </c>
      <c r="D284">
        <f>Capability!$F$5+3*Capability!$F$8</f>
        <v/>
      </c>
      <c r="E284">
        <f>Capability!$F$5-3*Capability!$F$8</f>
        <v/>
      </c>
      <c r="F284">
        <f>IF(ISNUMBER(Capability!C289),Capability!C289,NA())</f>
        <v/>
      </c>
      <c r="G284">
        <f>Capability!$F$7</f>
        <v/>
      </c>
      <c r="H284">
        <f>(1+3*0.8525/1.128379)*Capability!$F$7</f>
        <v/>
      </c>
      <c r="I284">
        <f>IF(ISNUMBER(B284),IF(OR(B284&gt;D284,B284&lt;E284),"OUT",""),"")</f>
        <v/>
      </c>
    </row>
    <row r="285">
      <c r="A285" t="n">
        <v>281</v>
      </c>
      <c r="B285">
        <f>IF(ISNUMBER(Capability!B290),Capability!B290,NA())</f>
        <v/>
      </c>
      <c r="C285">
        <f>Capability!$F$5</f>
        <v/>
      </c>
      <c r="D285">
        <f>Capability!$F$5+3*Capability!$F$8</f>
        <v/>
      </c>
      <c r="E285">
        <f>Capability!$F$5-3*Capability!$F$8</f>
        <v/>
      </c>
      <c r="F285">
        <f>IF(ISNUMBER(Capability!C290),Capability!C290,NA())</f>
        <v/>
      </c>
      <c r="G285">
        <f>Capability!$F$7</f>
        <v/>
      </c>
      <c r="H285">
        <f>(1+3*0.8525/1.128379)*Capability!$F$7</f>
        <v/>
      </c>
      <c r="I285">
        <f>IF(ISNUMBER(B285),IF(OR(B285&gt;D285,B285&lt;E285),"OUT",""),"")</f>
        <v/>
      </c>
    </row>
    <row r="286">
      <c r="A286" t="n">
        <v>282</v>
      </c>
      <c r="B286">
        <f>IF(ISNUMBER(Capability!B291),Capability!B291,NA())</f>
        <v/>
      </c>
      <c r="C286">
        <f>Capability!$F$5</f>
        <v/>
      </c>
      <c r="D286">
        <f>Capability!$F$5+3*Capability!$F$8</f>
        <v/>
      </c>
      <c r="E286">
        <f>Capability!$F$5-3*Capability!$F$8</f>
        <v/>
      </c>
      <c r="F286">
        <f>IF(ISNUMBER(Capability!C291),Capability!C291,NA())</f>
        <v/>
      </c>
      <c r="G286">
        <f>Capability!$F$7</f>
        <v/>
      </c>
      <c r="H286">
        <f>(1+3*0.8525/1.128379)*Capability!$F$7</f>
        <v/>
      </c>
      <c r="I286">
        <f>IF(ISNUMBER(B286),IF(OR(B286&gt;D286,B286&lt;E286),"OUT",""),"")</f>
        <v/>
      </c>
    </row>
    <row r="287">
      <c r="A287" t="n">
        <v>283</v>
      </c>
      <c r="B287">
        <f>IF(ISNUMBER(Capability!B292),Capability!B292,NA())</f>
        <v/>
      </c>
      <c r="C287">
        <f>Capability!$F$5</f>
        <v/>
      </c>
      <c r="D287">
        <f>Capability!$F$5+3*Capability!$F$8</f>
        <v/>
      </c>
      <c r="E287">
        <f>Capability!$F$5-3*Capability!$F$8</f>
        <v/>
      </c>
      <c r="F287">
        <f>IF(ISNUMBER(Capability!C292),Capability!C292,NA())</f>
        <v/>
      </c>
      <c r="G287">
        <f>Capability!$F$7</f>
        <v/>
      </c>
      <c r="H287">
        <f>(1+3*0.8525/1.128379)*Capability!$F$7</f>
        <v/>
      </c>
      <c r="I287">
        <f>IF(ISNUMBER(B287),IF(OR(B287&gt;D287,B287&lt;E287),"OUT",""),"")</f>
        <v/>
      </c>
    </row>
    <row r="288">
      <c r="A288" t="n">
        <v>284</v>
      </c>
      <c r="B288">
        <f>IF(ISNUMBER(Capability!B293),Capability!B293,NA())</f>
        <v/>
      </c>
      <c r="C288">
        <f>Capability!$F$5</f>
        <v/>
      </c>
      <c r="D288">
        <f>Capability!$F$5+3*Capability!$F$8</f>
        <v/>
      </c>
      <c r="E288">
        <f>Capability!$F$5-3*Capability!$F$8</f>
        <v/>
      </c>
      <c r="F288">
        <f>IF(ISNUMBER(Capability!C293),Capability!C293,NA())</f>
        <v/>
      </c>
      <c r="G288">
        <f>Capability!$F$7</f>
        <v/>
      </c>
      <c r="H288">
        <f>(1+3*0.8525/1.128379)*Capability!$F$7</f>
        <v/>
      </c>
      <c r="I288">
        <f>IF(ISNUMBER(B288),IF(OR(B288&gt;D288,B288&lt;E288),"OUT",""),"")</f>
        <v/>
      </c>
    </row>
    <row r="289">
      <c r="A289" t="n">
        <v>285</v>
      </c>
      <c r="B289">
        <f>IF(ISNUMBER(Capability!B294),Capability!B294,NA())</f>
        <v/>
      </c>
      <c r="C289">
        <f>Capability!$F$5</f>
        <v/>
      </c>
      <c r="D289">
        <f>Capability!$F$5+3*Capability!$F$8</f>
        <v/>
      </c>
      <c r="E289">
        <f>Capability!$F$5-3*Capability!$F$8</f>
        <v/>
      </c>
      <c r="F289">
        <f>IF(ISNUMBER(Capability!C294),Capability!C294,NA())</f>
        <v/>
      </c>
      <c r="G289">
        <f>Capability!$F$7</f>
        <v/>
      </c>
      <c r="H289">
        <f>(1+3*0.8525/1.128379)*Capability!$F$7</f>
        <v/>
      </c>
      <c r="I289">
        <f>IF(ISNUMBER(B289),IF(OR(B289&gt;D289,B289&lt;E289),"OUT",""),"")</f>
        <v/>
      </c>
    </row>
    <row r="290">
      <c r="A290" t="n">
        <v>286</v>
      </c>
      <c r="B290">
        <f>IF(ISNUMBER(Capability!B295),Capability!B295,NA())</f>
        <v/>
      </c>
      <c r="C290">
        <f>Capability!$F$5</f>
        <v/>
      </c>
      <c r="D290">
        <f>Capability!$F$5+3*Capability!$F$8</f>
        <v/>
      </c>
      <c r="E290">
        <f>Capability!$F$5-3*Capability!$F$8</f>
        <v/>
      </c>
      <c r="F290">
        <f>IF(ISNUMBER(Capability!C295),Capability!C295,NA())</f>
        <v/>
      </c>
      <c r="G290">
        <f>Capability!$F$7</f>
        <v/>
      </c>
      <c r="H290">
        <f>(1+3*0.8525/1.128379)*Capability!$F$7</f>
        <v/>
      </c>
      <c r="I290">
        <f>IF(ISNUMBER(B290),IF(OR(B290&gt;D290,B290&lt;E290),"OUT",""),"")</f>
        <v/>
      </c>
    </row>
    <row r="291">
      <c r="A291" t="n">
        <v>287</v>
      </c>
      <c r="B291">
        <f>IF(ISNUMBER(Capability!B296),Capability!B296,NA())</f>
        <v/>
      </c>
      <c r="C291">
        <f>Capability!$F$5</f>
        <v/>
      </c>
      <c r="D291">
        <f>Capability!$F$5+3*Capability!$F$8</f>
        <v/>
      </c>
      <c r="E291">
        <f>Capability!$F$5-3*Capability!$F$8</f>
        <v/>
      </c>
      <c r="F291">
        <f>IF(ISNUMBER(Capability!C296),Capability!C296,NA())</f>
        <v/>
      </c>
      <c r="G291">
        <f>Capability!$F$7</f>
        <v/>
      </c>
      <c r="H291">
        <f>(1+3*0.8525/1.128379)*Capability!$F$7</f>
        <v/>
      </c>
      <c r="I291">
        <f>IF(ISNUMBER(B291),IF(OR(B291&gt;D291,B291&lt;E291),"OUT",""),"")</f>
        <v/>
      </c>
    </row>
    <row r="292">
      <c r="A292" t="n">
        <v>288</v>
      </c>
      <c r="B292">
        <f>IF(ISNUMBER(Capability!B297),Capability!B297,NA())</f>
        <v/>
      </c>
      <c r="C292">
        <f>Capability!$F$5</f>
        <v/>
      </c>
      <c r="D292">
        <f>Capability!$F$5+3*Capability!$F$8</f>
        <v/>
      </c>
      <c r="E292">
        <f>Capability!$F$5-3*Capability!$F$8</f>
        <v/>
      </c>
      <c r="F292">
        <f>IF(ISNUMBER(Capability!C297),Capability!C297,NA())</f>
        <v/>
      </c>
      <c r="G292">
        <f>Capability!$F$7</f>
        <v/>
      </c>
      <c r="H292">
        <f>(1+3*0.8525/1.128379)*Capability!$F$7</f>
        <v/>
      </c>
      <c r="I292">
        <f>IF(ISNUMBER(B292),IF(OR(B292&gt;D292,B292&lt;E292),"OUT",""),"")</f>
        <v/>
      </c>
    </row>
    <row r="293">
      <c r="A293" t="n">
        <v>289</v>
      </c>
      <c r="B293">
        <f>IF(ISNUMBER(Capability!B298),Capability!B298,NA())</f>
        <v/>
      </c>
      <c r="C293">
        <f>Capability!$F$5</f>
        <v/>
      </c>
      <c r="D293">
        <f>Capability!$F$5+3*Capability!$F$8</f>
        <v/>
      </c>
      <c r="E293">
        <f>Capability!$F$5-3*Capability!$F$8</f>
        <v/>
      </c>
      <c r="F293">
        <f>IF(ISNUMBER(Capability!C298),Capability!C298,NA())</f>
        <v/>
      </c>
      <c r="G293">
        <f>Capability!$F$7</f>
        <v/>
      </c>
      <c r="H293">
        <f>(1+3*0.8525/1.128379)*Capability!$F$7</f>
        <v/>
      </c>
      <c r="I293">
        <f>IF(ISNUMBER(B293),IF(OR(B293&gt;D293,B293&lt;E293),"OUT",""),"")</f>
        <v/>
      </c>
    </row>
    <row r="294">
      <c r="A294" t="n">
        <v>290</v>
      </c>
      <c r="B294">
        <f>IF(ISNUMBER(Capability!B299),Capability!B299,NA())</f>
        <v/>
      </c>
      <c r="C294">
        <f>Capability!$F$5</f>
        <v/>
      </c>
      <c r="D294">
        <f>Capability!$F$5+3*Capability!$F$8</f>
        <v/>
      </c>
      <c r="E294">
        <f>Capability!$F$5-3*Capability!$F$8</f>
        <v/>
      </c>
      <c r="F294">
        <f>IF(ISNUMBER(Capability!C299),Capability!C299,NA())</f>
        <v/>
      </c>
      <c r="G294">
        <f>Capability!$F$7</f>
        <v/>
      </c>
      <c r="H294">
        <f>(1+3*0.8525/1.128379)*Capability!$F$7</f>
        <v/>
      </c>
      <c r="I294">
        <f>IF(ISNUMBER(B294),IF(OR(B294&gt;D294,B294&lt;E294),"OUT",""),"")</f>
        <v/>
      </c>
    </row>
    <row r="295">
      <c r="A295" t="n">
        <v>291</v>
      </c>
      <c r="B295">
        <f>IF(ISNUMBER(Capability!B300),Capability!B300,NA())</f>
        <v/>
      </c>
      <c r="C295">
        <f>Capability!$F$5</f>
        <v/>
      </c>
      <c r="D295">
        <f>Capability!$F$5+3*Capability!$F$8</f>
        <v/>
      </c>
      <c r="E295">
        <f>Capability!$F$5-3*Capability!$F$8</f>
        <v/>
      </c>
      <c r="F295">
        <f>IF(ISNUMBER(Capability!C300),Capability!C300,NA())</f>
        <v/>
      </c>
      <c r="G295">
        <f>Capability!$F$7</f>
        <v/>
      </c>
      <c r="H295">
        <f>(1+3*0.8525/1.128379)*Capability!$F$7</f>
        <v/>
      </c>
      <c r="I295">
        <f>IF(ISNUMBER(B295),IF(OR(B295&gt;D295,B295&lt;E295),"OUT",""),"")</f>
        <v/>
      </c>
    </row>
    <row r="296">
      <c r="A296" t="n">
        <v>292</v>
      </c>
      <c r="B296">
        <f>IF(ISNUMBER(Capability!B301),Capability!B301,NA())</f>
        <v/>
      </c>
      <c r="C296">
        <f>Capability!$F$5</f>
        <v/>
      </c>
      <c r="D296">
        <f>Capability!$F$5+3*Capability!$F$8</f>
        <v/>
      </c>
      <c r="E296">
        <f>Capability!$F$5-3*Capability!$F$8</f>
        <v/>
      </c>
      <c r="F296">
        <f>IF(ISNUMBER(Capability!C301),Capability!C301,NA())</f>
        <v/>
      </c>
      <c r="G296">
        <f>Capability!$F$7</f>
        <v/>
      </c>
      <c r="H296">
        <f>(1+3*0.8525/1.128379)*Capability!$F$7</f>
        <v/>
      </c>
      <c r="I296">
        <f>IF(ISNUMBER(B296),IF(OR(B296&gt;D296,B296&lt;E296),"OUT",""),"")</f>
        <v/>
      </c>
    </row>
    <row r="297">
      <c r="A297" t="n">
        <v>293</v>
      </c>
      <c r="B297">
        <f>IF(ISNUMBER(Capability!B302),Capability!B302,NA())</f>
        <v/>
      </c>
      <c r="C297">
        <f>Capability!$F$5</f>
        <v/>
      </c>
      <c r="D297">
        <f>Capability!$F$5+3*Capability!$F$8</f>
        <v/>
      </c>
      <c r="E297">
        <f>Capability!$F$5-3*Capability!$F$8</f>
        <v/>
      </c>
      <c r="F297">
        <f>IF(ISNUMBER(Capability!C302),Capability!C302,NA())</f>
        <v/>
      </c>
      <c r="G297">
        <f>Capability!$F$7</f>
        <v/>
      </c>
      <c r="H297">
        <f>(1+3*0.8525/1.128379)*Capability!$F$7</f>
        <v/>
      </c>
      <c r="I297">
        <f>IF(ISNUMBER(B297),IF(OR(B297&gt;D297,B297&lt;E297),"OUT",""),"")</f>
        <v/>
      </c>
    </row>
    <row r="298">
      <c r="A298" t="n">
        <v>294</v>
      </c>
      <c r="B298">
        <f>IF(ISNUMBER(Capability!B303),Capability!B303,NA())</f>
        <v/>
      </c>
      <c r="C298">
        <f>Capability!$F$5</f>
        <v/>
      </c>
      <c r="D298">
        <f>Capability!$F$5+3*Capability!$F$8</f>
        <v/>
      </c>
      <c r="E298">
        <f>Capability!$F$5-3*Capability!$F$8</f>
        <v/>
      </c>
      <c r="F298">
        <f>IF(ISNUMBER(Capability!C303),Capability!C303,NA())</f>
        <v/>
      </c>
      <c r="G298">
        <f>Capability!$F$7</f>
        <v/>
      </c>
      <c r="H298">
        <f>(1+3*0.8525/1.128379)*Capability!$F$7</f>
        <v/>
      </c>
      <c r="I298">
        <f>IF(ISNUMBER(B298),IF(OR(B298&gt;D298,B298&lt;E298),"OUT",""),"")</f>
        <v/>
      </c>
    </row>
    <row r="299">
      <c r="A299" t="n">
        <v>295</v>
      </c>
      <c r="B299">
        <f>IF(ISNUMBER(Capability!B304),Capability!B304,NA())</f>
        <v/>
      </c>
      <c r="C299">
        <f>Capability!$F$5</f>
        <v/>
      </c>
      <c r="D299">
        <f>Capability!$F$5+3*Capability!$F$8</f>
        <v/>
      </c>
      <c r="E299">
        <f>Capability!$F$5-3*Capability!$F$8</f>
        <v/>
      </c>
      <c r="F299">
        <f>IF(ISNUMBER(Capability!C304),Capability!C304,NA())</f>
        <v/>
      </c>
      <c r="G299">
        <f>Capability!$F$7</f>
        <v/>
      </c>
      <c r="H299">
        <f>(1+3*0.8525/1.128379)*Capability!$F$7</f>
        <v/>
      </c>
      <c r="I299">
        <f>IF(ISNUMBER(B299),IF(OR(B299&gt;D299,B299&lt;E299),"OUT",""),"")</f>
        <v/>
      </c>
    </row>
    <row r="300">
      <c r="A300" t="n">
        <v>296</v>
      </c>
      <c r="B300">
        <f>IF(ISNUMBER(Capability!B305),Capability!B305,NA())</f>
        <v/>
      </c>
      <c r="C300">
        <f>Capability!$F$5</f>
        <v/>
      </c>
      <c r="D300">
        <f>Capability!$F$5+3*Capability!$F$8</f>
        <v/>
      </c>
      <c r="E300">
        <f>Capability!$F$5-3*Capability!$F$8</f>
        <v/>
      </c>
      <c r="F300">
        <f>IF(ISNUMBER(Capability!C305),Capability!C305,NA())</f>
        <v/>
      </c>
      <c r="G300">
        <f>Capability!$F$7</f>
        <v/>
      </c>
      <c r="H300">
        <f>(1+3*0.8525/1.128379)*Capability!$F$7</f>
        <v/>
      </c>
      <c r="I300">
        <f>IF(ISNUMBER(B300),IF(OR(B300&gt;D300,B300&lt;E300),"OUT",""),"")</f>
        <v/>
      </c>
    </row>
    <row r="301">
      <c r="A301" t="n">
        <v>297</v>
      </c>
      <c r="B301">
        <f>IF(ISNUMBER(Capability!B306),Capability!B306,NA())</f>
        <v/>
      </c>
      <c r="C301">
        <f>Capability!$F$5</f>
        <v/>
      </c>
      <c r="D301">
        <f>Capability!$F$5+3*Capability!$F$8</f>
        <v/>
      </c>
      <c r="E301">
        <f>Capability!$F$5-3*Capability!$F$8</f>
        <v/>
      </c>
      <c r="F301">
        <f>IF(ISNUMBER(Capability!C306),Capability!C306,NA())</f>
        <v/>
      </c>
      <c r="G301">
        <f>Capability!$F$7</f>
        <v/>
      </c>
      <c r="H301">
        <f>(1+3*0.8525/1.128379)*Capability!$F$7</f>
        <v/>
      </c>
      <c r="I301">
        <f>IF(ISNUMBER(B301),IF(OR(B301&gt;D301,B301&lt;E301),"OUT",""),"")</f>
        <v/>
      </c>
    </row>
    <row r="302">
      <c r="A302" t="n">
        <v>298</v>
      </c>
      <c r="B302">
        <f>IF(ISNUMBER(Capability!B307),Capability!B307,NA())</f>
        <v/>
      </c>
      <c r="C302">
        <f>Capability!$F$5</f>
        <v/>
      </c>
      <c r="D302">
        <f>Capability!$F$5+3*Capability!$F$8</f>
        <v/>
      </c>
      <c r="E302">
        <f>Capability!$F$5-3*Capability!$F$8</f>
        <v/>
      </c>
      <c r="F302">
        <f>IF(ISNUMBER(Capability!C307),Capability!C307,NA())</f>
        <v/>
      </c>
      <c r="G302">
        <f>Capability!$F$7</f>
        <v/>
      </c>
      <c r="H302">
        <f>(1+3*0.8525/1.128379)*Capability!$F$7</f>
        <v/>
      </c>
      <c r="I302">
        <f>IF(ISNUMBER(B302),IF(OR(B302&gt;D302,B302&lt;E302),"OUT",""),"")</f>
        <v/>
      </c>
    </row>
    <row r="303">
      <c r="A303" t="n">
        <v>299</v>
      </c>
      <c r="B303">
        <f>IF(ISNUMBER(Capability!B308),Capability!B308,NA())</f>
        <v/>
      </c>
      <c r="C303">
        <f>Capability!$F$5</f>
        <v/>
      </c>
      <c r="D303">
        <f>Capability!$F$5+3*Capability!$F$8</f>
        <v/>
      </c>
      <c r="E303">
        <f>Capability!$F$5-3*Capability!$F$8</f>
        <v/>
      </c>
      <c r="F303">
        <f>IF(ISNUMBER(Capability!C308),Capability!C308,NA())</f>
        <v/>
      </c>
      <c r="G303">
        <f>Capability!$F$7</f>
        <v/>
      </c>
      <c r="H303">
        <f>(1+3*0.8525/1.128379)*Capability!$F$7</f>
        <v/>
      </c>
      <c r="I303">
        <f>IF(ISNUMBER(B303),IF(OR(B303&gt;D303,B303&lt;E303),"OUT",""),"")</f>
        <v/>
      </c>
    </row>
    <row r="304">
      <c r="A304" t="n">
        <v>300</v>
      </c>
      <c r="B304">
        <f>IF(ISNUMBER(Capability!B309),Capability!B309,NA())</f>
        <v/>
      </c>
      <c r="C304">
        <f>Capability!$F$5</f>
        <v/>
      </c>
      <c r="D304">
        <f>Capability!$F$5+3*Capability!$F$8</f>
        <v/>
      </c>
      <c r="E304">
        <f>Capability!$F$5-3*Capability!$F$8</f>
        <v/>
      </c>
      <c r="F304">
        <f>IF(ISNUMBER(Capability!C309),Capability!C309,NA())</f>
        <v/>
      </c>
      <c r="G304">
        <f>Capability!$F$7</f>
        <v/>
      </c>
      <c r="H304">
        <f>(1+3*0.8525/1.128379)*Capability!$F$7</f>
        <v/>
      </c>
      <c r="I304">
        <f>IF(ISNUMBER(B304),IF(OR(B304&gt;D304,B304&lt;E304),"OUT",""),"")</f>
        <v/>
      </c>
    </row>
    <row r="305">
      <c r="A305" t="n">
        <v>301</v>
      </c>
      <c r="B305">
        <f>IF(ISNUMBER(Capability!B310),Capability!B310,NA())</f>
        <v/>
      </c>
      <c r="C305">
        <f>Capability!$F$5</f>
        <v/>
      </c>
      <c r="D305">
        <f>Capability!$F$5+3*Capability!$F$8</f>
        <v/>
      </c>
      <c r="E305">
        <f>Capability!$F$5-3*Capability!$F$8</f>
        <v/>
      </c>
      <c r="F305">
        <f>IF(ISNUMBER(Capability!C310),Capability!C310,NA())</f>
        <v/>
      </c>
      <c r="G305">
        <f>Capability!$F$7</f>
        <v/>
      </c>
      <c r="H305">
        <f>(1+3*0.8525/1.128379)*Capability!$F$7</f>
        <v/>
      </c>
      <c r="I305">
        <f>IF(ISNUMBER(B305),IF(OR(B305&gt;D305,B305&lt;E305),"OUT",""),"")</f>
        <v/>
      </c>
    </row>
    <row r="306">
      <c r="A306" t="n">
        <v>302</v>
      </c>
      <c r="B306">
        <f>IF(ISNUMBER(Capability!B311),Capability!B311,NA())</f>
        <v/>
      </c>
      <c r="C306">
        <f>Capability!$F$5</f>
        <v/>
      </c>
      <c r="D306">
        <f>Capability!$F$5+3*Capability!$F$8</f>
        <v/>
      </c>
      <c r="E306">
        <f>Capability!$F$5-3*Capability!$F$8</f>
        <v/>
      </c>
      <c r="F306">
        <f>IF(ISNUMBER(Capability!C311),Capability!C311,NA())</f>
        <v/>
      </c>
      <c r="G306">
        <f>Capability!$F$7</f>
        <v/>
      </c>
      <c r="H306">
        <f>(1+3*0.8525/1.128379)*Capability!$F$7</f>
        <v/>
      </c>
      <c r="I306">
        <f>IF(ISNUMBER(B306),IF(OR(B306&gt;D306,B306&lt;E306),"OUT",""),"")</f>
        <v/>
      </c>
    </row>
    <row r="307">
      <c r="A307" t="n">
        <v>303</v>
      </c>
      <c r="B307">
        <f>IF(ISNUMBER(Capability!B312),Capability!B312,NA())</f>
        <v/>
      </c>
      <c r="C307">
        <f>Capability!$F$5</f>
        <v/>
      </c>
      <c r="D307">
        <f>Capability!$F$5+3*Capability!$F$8</f>
        <v/>
      </c>
      <c r="E307">
        <f>Capability!$F$5-3*Capability!$F$8</f>
        <v/>
      </c>
      <c r="F307">
        <f>IF(ISNUMBER(Capability!C312),Capability!C312,NA())</f>
        <v/>
      </c>
      <c r="G307">
        <f>Capability!$F$7</f>
        <v/>
      </c>
      <c r="H307">
        <f>(1+3*0.8525/1.128379)*Capability!$F$7</f>
        <v/>
      </c>
      <c r="I307">
        <f>IF(ISNUMBER(B307),IF(OR(B307&gt;D307,B307&lt;E307),"OUT",""),"")</f>
        <v/>
      </c>
    </row>
    <row r="308">
      <c r="A308" t="n">
        <v>304</v>
      </c>
      <c r="B308">
        <f>IF(ISNUMBER(Capability!B313),Capability!B313,NA())</f>
        <v/>
      </c>
      <c r="C308">
        <f>Capability!$F$5</f>
        <v/>
      </c>
      <c r="D308">
        <f>Capability!$F$5+3*Capability!$F$8</f>
        <v/>
      </c>
      <c r="E308">
        <f>Capability!$F$5-3*Capability!$F$8</f>
        <v/>
      </c>
      <c r="F308">
        <f>IF(ISNUMBER(Capability!C313),Capability!C313,NA())</f>
        <v/>
      </c>
      <c r="G308">
        <f>Capability!$F$7</f>
        <v/>
      </c>
      <c r="H308">
        <f>(1+3*0.8525/1.128379)*Capability!$F$7</f>
        <v/>
      </c>
      <c r="I308">
        <f>IF(ISNUMBER(B308),IF(OR(B308&gt;D308,B308&lt;E308),"OUT",""),"")</f>
        <v/>
      </c>
    </row>
    <row r="309">
      <c r="A309" t="n">
        <v>305</v>
      </c>
      <c r="B309">
        <f>IF(ISNUMBER(Capability!B314),Capability!B314,NA())</f>
        <v/>
      </c>
      <c r="C309">
        <f>Capability!$F$5</f>
        <v/>
      </c>
      <c r="D309">
        <f>Capability!$F$5+3*Capability!$F$8</f>
        <v/>
      </c>
      <c r="E309">
        <f>Capability!$F$5-3*Capability!$F$8</f>
        <v/>
      </c>
      <c r="F309">
        <f>IF(ISNUMBER(Capability!C314),Capability!C314,NA())</f>
        <v/>
      </c>
      <c r="G309">
        <f>Capability!$F$7</f>
        <v/>
      </c>
      <c r="H309">
        <f>(1+3*0.8525/1.128379)*Capability!$F$7</f>
        <v/>
      </c>
      <c r="I309">
        <f>IF(ISNUMBER(B309),IF(OR(B309&gt;D309,B309&lt;E309),"OUT",""),"")</f>
        <v/>
      </c>
    </row>
    <row r="310">
      <c r="A310" t="n">
        <v>306</v>
      </c>
      <c r="B310">
        <f>IF(ISNUMBER(Capability!B315),Capability!B315,NA())</f>
        <v/>
      </c>
      <c r="C310">
        <f>Capability!$F$5</f>
        <v/>
      </c>
      <c r="D310">
        <f>Capability!$F$5+3*Capability!$F$8</f>
        <v/>
      </c>
      <c r="E310">
        <f>Capability!$F$5-3*Capability!$F$8</f>
        <v/>
      </c>
      <c r="F310">
        <f>IF(ISNUMBER(Capability!C315),Capability!C315,NA())</f>
        <v/>
      </c>
      <c r="G310">
        <f>Capability!$F$7</f>
        <v/>
      </c>
      <c r="H310">
        <f>(1+3*0.8525/1.128379)*Capability!$F$7</f>
        <v/>
      </c>
      <c r="I310">
        <f>IF(ISNUMBER(B310),IF(OR(B310&gt;D310,B310&lt;E310),"OUT",""),"")</f>
        <v/>
      </c>
    </row>
    <row r="311">
      <c r="A311" t="n">
        <v>307</v>
      </c>
      <c r="B311">
        <f>IF(ISNUMBER(Capability!B316),Capability!B316,NA())</f>
        <v/>
      </c>
      <c r="C311">
        <f>Capability!$F$5</f>
        <v/>
      </c>
      <c r="D311">
        <f>Capability!$F$5+3*Capability!$F$8</f>
        <v/>
      </c>
      <c r="E311">
        <f>Capability!$F$5-3*Capability!$F$8</f>
        <v/>
      </c>
      <c r="F311">
        <f>IF(ISNUMBER(Capability!C316),Capability!C316,NA())</f>
        <v/>
      </c>
      <c r="G311">
        <f>Capability!$F$7</f>
        <v/>
      </c>
      <c r="H311">
        <f>(1+3*0.8525/1.128379)*Capability!$F$7</f>
        <v/>
      </c>
      <c r="I311">
        <f>IF(ISNUMBER(B311),IF(OR(B311&gt;D311,B311&lt;E311),"OUT",""),"")</f>
        <v/>
      </c>
    </row>
    <row r="312">
      <c r="A312" t="n">
        <v>308</v>
      </c>
      <c r="B312">
        <f>IF(ISNUMBER(Capability!B317),Capability!B317,NA())</f>
        <v/>
      </c>
      <c r="C312">
        <f>Capability!$F$5</f>
        <v/>
      </c>
      <c r="D312">
        <f>Capability!$F$5+3*Capability!$F$8</f>
        <v/>
      </c>
      <c r="E312">
        <f>Capability!$F$5-3*Capability!$F$8</f>
        <v/>
      </c>
      <c r="F312">
        <f>IF(ISNUMBER(Capability!C317),Capability!C317,NA())</f>
        <v/>
      </c>
      <c r="G312">
        <f>Capability!$F$7</f>
        <v/>
      </c>
      <c r="H312">
        <f>(1+3*0.8525/1.128379)*Capability!$F$7</f>
        <v/>
      </c>
      <c r="I312">
        <f>IF(ISNUMBER(B312),IF(OR(B312&gt;D312,B312&lt;E312),"OUT",""),"")</f>
        <v/>
      </c>
    </row>
    <row r="313">
      <c r="A313" t="n">
        <v>309</v>
      </c>
      <c r="B313">
        <f>IF(ISNUMBER(Capability!B318),Capability!B318,NA())</f>
        <v/>
      </c>
      <c r="C313">
        <f>Capability!$F$5</f>
        <v/>
      </c>
      <c r="D313">
        <f>Capability!$F$5+3*Capability!$F$8</f>
        <v/>
      </c>
      <c r="E313">
        <f>Capability!$F$5-3*Capability!$F$8</f>
        <v/>
      </c>
      <c r="F313">
        <f>IF(ISNUMBER(Capability!C318),Capability!C318,NA())</f>
        <v/>
      </c>
      <c r="G313">
        <f>Capability!$F$7</f>
        <v/>
      </c>
      <c r="H313">
        <f>(1+3*0.8525/1.128379)*Capability!$F$7</f>
        <v/>
      </c>
      <c r="I313">
        <f>IF(ISNUMBER(B313),IF(OR(B313&gt;D313,B313&lt;E313),"OUT",""),"")</f>
        <v/>
      </c>
    </row>
    <row r="314">
      <c r="A314" t="n">
        <v>310</v>
      </c>
      <c r="B314">
        <f>IF(ISNUMBER(Capability!B319),Capability!B319,NA())</f>
        <v/>
      </c>
      <c r="C314">
        <f>Capability!$F$5</f>
        <v/>
      </c>
      <c r="D314">
        <f>Capability!$F$5+3*Capability!$F$8</f>
        <v/>
      </c>
      <c r="E314">
        <f>Capability!$F$5-3*Capability!$F$8</f>
        <v/>
      </c>
      <c r="F314">
        <f>IF(ISNUMBER(Capability!C319),Capability!C319,NA())</f>
        <v/>
      </c>
      <c r="G314">
        <f>Capability!$F$7</f>
        <v/>
      </c>
      <c r="H314">
        <f>(1+3*0.8525/1.128379)*Capability!$F$7</f>
        <v/>
      </c>
      <c r="I314">
        <f>IF(ISNUMBER(B314),IF(OR(B314&gt;D314,B314&lt;E314),"OUT",""),"")</f>
        <v/>
      </c>
    </row>
    <row r="315">
      <c r="A315" t="n">
        <v>311</v>
      </c>
      <c r="B315">
        <f>IF(ISNUMBER(Capability!B320),Capability!B320,NA())</f>
        <v/>
      </c>
      <c r="C315">
        <f>Capability!$F$5</f>
        <v/>
      </c>
      <c r="D315">
        <f>Capability!$F$5+3*Capability!$F$8</f>
        <v/>
      </c>
      <c r="E315">
        <f>Capability!$F$5-3*Capability!$F$8</f>
        <v/>
      </c>
      <c r="F315">
        <f>IF(ISNUMBER(Capability!C320),Capability!C320,NA())</f>
        <v/>
      </c>
      <c r="G315">
        <f>Capability!$F$7</f>
        <v/>
      </c>
      <c r="H315">
        <f>(1+3*0.8525/1.128379)*Capability!$F$7</f>
        <v/>
      </c>
      <c r="I315">
        <f>IF(ISNUMBER(B315),IF(OR(B315&gt;D315,B315&lt;E315),"OUT",""),"")</f>
        <v/>
      </c>
    </row>
    <row r="316">
      <c r="A316" t="n">
        <v>312</v>
      </c>
      <c r="B316">
        <f>IF(ISNUMBER(Capability!B321),Capability!B321,NA())</f>
        <v/>
      </c>
      <c r="C316">
        <f>Capability!$F$5</f>
        <v/>
      </c>
      <c r="D316">
        <f>Capability!$F$5+3*Capability!$F$8</f>
        <v/>
      </c>
      <c r="E316">
        <f>Capability!$F$5-3*Capability!$F$8</f>
        <v/>
      </c>
      <c r="F316">
        <f>IF(ISNUMBER(Capability!C321),Capability!C321,NA())</f>
        <v/>
      </c>
      <c r="G316">
        <f>Capability!$F$7</f>
        <v/>
      </c>
      <c r="H316">
        <f>(1+3*0.8525/1.128379)*Capability!$F$7</f>
        <v/>
      </c>
      <c r="I316">
        <f>IF(ISNUMBER(B316),IF(OR(B316&gt;D316,B316&lt;E316),"OUT",""),"")</f>
        <v/>
      </c>
    </row>
    <row r="317">
      <c r="A317" t="n">
        <v>313</v>
      </c>
      <c r="B317">
        <f>IF(ISNUMBER(Capability!B322),Capability!B322,NA())</f>
        <v/>
      </c>
      <c r="C317">
        <f>Capability!$F$5</f>
        <v/>
      </c>
      <c r="D317">
        <f>Capability!$F$5+3*Capability!$F$8</f>
        <v/>
      </c>
      <c r="E317">
        <f>Capability!$F$5-3*Capability!$F$8</f>
        <v/>
      </c>
      <c r="F317">
        <f>IF(ISNUMBER(Capability!C322),Capability!C322,NA())</f>
        <v/>
      </c>
      <c r="G317">
        <f>Capability!$F$7</f>
        <v/>
      </c>
      <c r="H317">
        <f>(1+3*0.8525/1.128379)*Capability!$F$7</f>
        <v/>
      </c>
      <c r="I317">
        <f>IF(ISNUMBER(B317),IF(OR(B317&gt;D317,B317&lt;E317),"OUT",""),"")</f>
        <v/>
      </c>
    </row>
    <row r="318">
      <c r="A318" t="n">
        <v>314</v>
      </c>
      <c r="B318">
        <f>IF(ISNUMBER(Capability!B323),Capability!B323,NA())</f>
        <v/>
      </c>
      <c r="C318">
        <f>Capability!$F$5</f>
        <v/>
      </c>
      <c r="D318">
        <f>Capability!$F$5+3*Capability!$F$8</f>
        <v/>
      </c>
      <c r="E318">
        <f>Capability!$F$5-3*Capability!$F$8</f>
        <v/>
      </c>
      <c r="F318">
        <f>IF(ISNUMBER(Capability!C323),Capability!C323,NA())</f>
        <v/>
      </c>
      <c r="G318">
        <f>Capability!$F$7</f>
        <v/>
      </c>
      <c r="H318">
        <f>(1+3*0.8525/1.128379)*Capability!$F$7</f>
        <v/>
      </c>
      <c r="I318">
        <f>IF(ISNUMBER(B318),IF(OR(B318&gt;D318,B318&lt;E318),"OUT",""),"")</f>
        <v/>
      </c>
    </row>
    <row r="319">
      <c r="A319" t="n">
        <v>315</v>
      </c>
      <c r="B319">
        <f>IF(ISNUMBER(Capability!B324),Capability!B324,NA())</f>
        <v/>
      </c>
      <c r="C319">
        <f>Capability!$F$5</f>
        <v/>
      </c>
      <c r="D319">
        <f>Capability!$F$5+3*Capability!$F$8</f>
        <v/>
      </c>
      <c r="E319">
        <f>Capability!$F$5-3*Capability!$F$8</f>
        <v/>
      </c>
      <c r="F319">
        <f>IF(ISNUMBER(Capability!C324),Capability!C324,NA())</f>
        <v/>
      </c>
      <c r="G319">
        <f>Capability!$F$7</f>
        <v/>
      </c>
      <c r="H319">
        <f>(1+3*0.8525/1.128379)*Capability!$F$7</f>
        <v/>
      </c>
      <c r="I319">
        <f>IF(ISNUMBER(B319),IF(OR(B319&gt;D319,B319&lt;E319),"OUT",""),"")</f>
        <v/>
      </c>
    </row>
    <row r="320">
      <c r="A320" t="n">
        <v>316</v>
      </c>
      <c r="B320">
        <f>IF(ISNUMBER(Capability!B325),Capability!B325,NA())</f>
        <v/>
      </c>
      <c r="C320">
        <f>Capability!$F$5</f>
        <v/>
      </c>
      <c r="D320">
        <f>Capability!$F$5+3*Capability!$F$8</f>
        <v/>
      </c>
      <c r="E320">
        <f>Capability!$F$5-3*Capability!$F$8</f>
        <v/>
      </c>
      <c r="F320">
        <f>IF(ISNUMBER(Capability!C325),Capability!C325,NA())</f>
        <v/>
      </c>
      <c r="G320">
        <f>Capability!$F$7</f>
        <v/>
      </c>
      <c r="H320">
        <f>(1+3*0.8525/1.128379)*Capability!$F$7</f>
        <v/>
      </c>
      <c r="I320">
        <f>IF(ISNUMBER(B320),IF(OR(B320&gt;D320,B320&lt;E320),"OUT",""),"")</f>
        <v/>
      </c>
    </row>
    <row r="321">
      <c r="A321" t="n">
        <v>317</v>
      </c>
      <c r="B321">
        <f>IF(ISNUMBER(Capability!B326),Capability!B326,NA())</f>
        <v/>
      </c>
      <c r="C321">
        <f>Capability!$F$5</f>
        <v/>
      </c>
      <c r="D321">
        <f>Capability!$F$5+3*Capability!$F$8</f>
        <v/>
      </c>
      <c r="E321">
        <f>Capability!$F$5-3*Capability!$F$8</f>
        <v/>
      </c>
      <c r="F321">
        <f>IF(ISNUMBER(Capability!C326),Capability!C326,NA())</f>
        <v/>
      </c>
      <c r="G321">
        <f>Capability!$F$7</f>
        <v/>
      </c>
      <c r="H321">
        <f>(1+3*0.8525/1.128379)*Capability!$F$7</f>
        <v/>
      </c>
      <c r="I321">
        <f>IF(ISNUMBER(B321),IF(OR(B321&gt;D321,B321&lt;E321),"OUT",""),"")</f>
        <v/>
      </c>
    </row>
    <row r="322">
      <c r="A322" t="n">
        <v>318</v>
      </c>
      <c r="B322">
        <f>IF(ISNUMBER(Capability!B327),Capability!B327,NA())</f>
        <v/>
      </c>
      <c r="C322">
        <f>Capability!$F$5</f>
        <v/>
      </c>
      <c r="D322">
        <f>Capability!$F$5+3*Capability!$F$8</f>
        <v/>
      </c>
      <c r="E322">
        <f>Capability!$F$5-3*Capability!$F$8</f>
        <v/>
      </c>
      <c r="F322">
        <f>IF(ISNUMBER(Capability!C327),Capability!C327,NA())</f>
        <v/>
      </c>
      <c r="G322">
        <f>Capability!$F$7</f>
        <v/>
      </c>
      <c r="H322">
        <f>(1+3*0.8525/1.128379)*Capability!$F$7</f>
        <v/>
      </c>
      <c r="I322">
        <f>IF(ISNUMBER(B322),IF(OR(B322&gt;D322,B322&lt;E322),"OUT",""),"")</f>
        <v/>
      </c>
    </row>
    <row r="323">
      <c r="A323" t="n">
        <v>319</v>
      </c>
      <c r="B323">
        <f>IF(ISNUMBER(Capability!B328),Capability!B328,NA())</f>
        <v/>
      </c>
      <c r="C323">
        <f>Capability!$F$5</f>
        <v/>
      </c>
      <c r="D323">
        <f>Capability!$F$5+3*Capability!$F$8</f>
        <v/>
      </c>
      <c r="E323">
        <f>Capability!$F$5-3*Capability!$F$8</f>
        <v/>
      </c>
      <c r="F323">
        <f>IF(ISNUMBER(Capability!C328),Capability!C328,NA())</f>
        <v/>
      </c>
      <c r="G323">
        <f>Capability!$F$7</f>
        <v/>
      </c>
      <c r="H323">
        <f>(1+3*0.8525/1.128379)*Capability!$F$7</f>
        <v/>
      </c>
      <c r="I323">
        <f>IF(ISNUMBER(B323),IF(OR(B323&gt;D323,B323&lt;E323),"OUT",""),"")</f>
        <v/>
      </c>
    </row>
    <row r="324">
      <c r="A324" t="n">
        <v>320</v>
      </c>
      <c r="B324">
        <f>IF(ISNUMBER(Capability!B329),Capability!B329,NA())</f>
        <v/>
      </c>
      <c r="C324">
        <f>Capability!$F$5</f>
        <v/>
      </c>
      <c r="D324">
        <f>Capability!$F$5+3*Capability!$F$8</f>
        <v/>
      </c>
      <c r="E324">
        <f>Capability!$F$5-3*Capability!$F$8</f>
        <v/>
      </c>
      <c r="F324">
        <f>IF(ISNUMBER(Capability!C329),Capability!C329,NA())</f>
        <v/>
      </c>
      <c r="G324">
        <f>Capability!$F$7</f>
        <v/>
      </c>
      <c r="H324">
        <f>(1+3*0.8525/1.128379)*Capability!$F$7</f>
        <v/>
      </c>
      <c r="I324">
        <f>IF(ISNUMBER(B324),IF(OR(B324&gt;D324,B324&lt;E324),"OUT",""),"")</f>
        <v/>
      </c>
    </row>
    <row r="325">
      <c r="A325" t="n">
        <v>321</v>
      </c>
      <c r="B325">
        <f>IF(ISNUMBER(Capability!B330),Capability!B330,NA())</f>
        <v/>
      </c>
      <c r="C325">
        <f>Capability!$F$5</f>
        <v/>
      </c>
      <c r="D325">
        <f>Capability!$F$5+3*Capability!$F$8</f>
        <v/>
      </c>
      <c r="E325">
        <f>Capability!$F$5-3*Capability!$F$8</f>
        <v/>
      </c>
      <c r="F325">
        <f>IF(ISNUMBER(Capability!C330),Capability!C330,NA())</f>
        <v/>
      </c>
      <c r="G325">
        <f>Capability!$F$7</f>
        <v/>
      </c>
      <c r="H325">
        <f>(1+3*0.8525/1.128379)*Capability!$F$7</f>
        <v/>
      </c>
      <c r="I325">
        <f>IF(ISNUMBER(B325),IF(OR(B325&gt;D325,B325&lt;E325),"OUT",""),"")</f>
        <v/>
      </c>
    </row>
    <row r="326">
      <c r="A326" t="n">
        <v>322</v>
      </c>
      <c r="B326">
        <f>IF(ISNUMBER(Capability!B331),Capability!B331,NA())</f>
        <v/>
      </c>
      <c r="C326">
        <f>Capability!$F$5</f>
        <v/>
      </c>
      <c r="D326">
        <f>Capability!$F$5+3*Capability!$F$8</f>
        <v/>
      </c>
      <c r="E326">
        <f>Capability!$F$5-3*Capability!$F$8</f>
        <v/>
      </c>
      <c r="F326">
        <f>IF(ISNUMBER(Capability!C331),Capability!C331,NA())</f>
        <v/>
      </c>
      <c r="G326">
        <f>Capability!$F$7</f>
        <v/>
      </c>
      <c r="H326">
        <f>(1+3*0.8525/1.128379)*Capability!$F$7</f>
        <v/>
      </c>
      <c r="I326">
        <f>IF(ISNUMBER(B326),IF(OR(B326&gt;D326,B326&lt;E326),"OUT",""),"")</f>
        <v/>
      </c>
    </row>
    <row r="327">
      <c r="A327" t="n">
        <v>323</v>
      </c>
      <c r="B327">
        <f>IF(ISNUMBER(Capability!B332),Capability!B332,NA())</f>
        <v/>
      </c>
      <c r="C327">
        <f>Capability!$F$5</f>
        <v/>
      </c>
      <c r="D327">
        <f>Capability!$F$5+3*Capability!$F$8</f>
        <v/>
      </c>
      <c r="E327">
        <f>Capability!$F$5-3*Capability!$F$8</f>
        <v/>
      </c>
      <c r="F327">
        <f>IF(ISNUMBER(Capability!C332),Capability!C332,NA())</f>
        <v/>
      </c>
      <c r="G327">
        <f>Capability!$F$7</f>
        <v/>
      </c>
      <c r="H327">
        <f>(1+3*0.8525/1.128379)*Capability!$F$7</f>
        <v/>
      </c>
      <c r="I327">
        <f>IF(ISNUMBER(B327),IF(OR(B327&gt;D327,B327&lt;E327),"OUT",""),"")</f>
        <v/>
      </c>
    </row>
    <row r="328">
      <c r="A328" t="n">
        <v>324</v>
      </c>
      <c r="B328">
        <f>IF(ISNUMBER(Capability!B333),Capability!B333,NA())</f>
        <v/>
      </c>
      <c r="C328">
        <f>Capability!$F$5</f>
        <v/>
      </c>
      <c r="D328">
        <f>Capability!$F$5+3*Capability!$F$8</f>
        <v/>
      </c>
      <c r="E328">
        <f>Capability!$F$5-3*Capability!$F$8</f>
        <v/>
      </c>
      <c r="F328">
        <f>IF(ISNUMBER(Capability!C333),Capability!C333,NA())</f>
        <v/>
      </c>
      <c r="G328">
        <f>Capability!$F$7</f>
        <v/>
      </c>
      <c r="H328">
        <f>(1+3*0.8525/1.128379)*Capability!$F$7</f>
        <v/>
      </c>
      <c r="I328">
        <f>IF(ISNUMBER(B328),IF(OR(B328&gt;D328,B328&lt;E328),"OUT",""),"")</f>
        <v/>
      </c>
    </row>
    <row r="329">
      <c r="A329" t="n">
        <v>325</v>
      </c>
      <c r="B329">
        <f>IF(ISNUMBER(Capability!B334),Capability!B334,NA())</f>
        <v/>
      </c>
      <c r="C329">
        <f>Capability!$F$5</f>
        <v/>
      </c>
      <c r="D329">
        <f>Capability!$F$5+3*Capability!$F$8</f>
        <v/>
      </c>
      <c r="E329">
        <f>Capability!$F$5-3*Capability!$F$8</f>
        <v/>
      </c>
      <c r="F329">
        <f>IF(ISNUMBER(Capability!C334),Capability!C334,NA())</f>
        <v/>
      </c>
      <c r="G329">
        <f>Capability!$F$7</f>
        <v/>
      </c>
      <c r="H329">
        <f>(1+3*0.8525/1.128379)*Capability!$F$7</f>
        <v/>
      </c>
      <c r="I329">
        <f>IF(ISNUMBER(B329),IF(OR(B329&gt;D329,B329&lt;E329),"OUT",""),"")</f>
        <v/>
      </c>
    </row>
    <row r="330">
      <c r="A330" t="n">
        <v>326</v>
      </c>
      <c r="B330">
        <f>IF(ISNUMBER(Capability!B335),Capability!B335,NA())</f>
        <v/>
      </c>
      <c r="C330">
        <f>Capability!$F$5</f>
        <v/>
      </c>
      <c r="D330">
        <f>Capability!$F$5+3*Capability!$F$8</f>
        <v/>
      </c>
      <c r="E330">
        <f>Capability!$F$5-3*Capability!$F$8</f>
        <v/>
      </c>
      <c r="F330">
        <f>IF(ISNUMBER(Capability!C335),Capability!C335,NA())</f>
        <v/>
      </c>
      <c r="G330">
        <f>Capability!$F$7</f>
        <v/>
      </c>
      <c r="H330">
        <f>(1+3*0.8525/1.128379)*Capability!$F$7</f>
        <v/>
      </c>
      <c r="I330">
        <f>IF(ISNUMBER(B330),IF(OR(B330&gt;D330,B330&lt;E330),"OUT",""),"")</f>
        <v/>
      </c>
    </row>
    <row r="331">
      <c r="A331" t="n">
        <v>327</v>
      </c>
      <c r="B331">
        <f>IF(ISNUMBER(Capability!B336),Capability!B336,NA())</f>
        <v/>
      </c>
      <c r="C331">
        <f>Capability!$F$5</f>
        <v/>
      </c>
      <c r="D331">
        <f>Capability!$F$5+3*Capability!$F$8</f>
        <v/>
      </c>
      <c r="E331">
        <f>Capability!$F$5-3*Capability!$F$8</f>
        <v/>
      </c>
      <c r="F331">
        <f>IF(ISNUMBER(Capability!C336),Capability!C336,NA())</f>
        <v/>
      </c>
      <c r="G331">
        <f>Capability!$F$7</f>
        <v/>
      </c>
      <c r="H331">
        <f>(1+3*0.8525/1.128379)*Capability!$F$7</f>
        <v/>
      </c>
      <c r="I331">
        <f>IF(ISNUMBER(B331),IF(OR(B331&gt;D331,B331&lt;E331),"OUT",""),"")</f>
        <v/>
      </c>
    </row>
    <row r="332">
      <c r="A332" t="n">
        <v>328</v>
      </c>
      <c r="B332">
        <f>IF(ISNUMBER(Capability!B337),Capability!B337,NA())</f>
        <v/>
      </c>
      <c r="C332">
        <f>Capability!$F$5</f>
        <v/>
      </c>
      <c r="D332">
        <f>Capability!$F$5+3*Capability!$F$8</f>
        <v/>
      </c>
      <c r="E332">
        <f>Capability!$F$5-3*Capability!$F$8</f>
        <v/>
      </c>
      <c r="F332">
        <f>IF(ISNUMBER(Capability!C337),Capability!C337,NA())</f>
        <v/>
      </c>
      <c r="G332">
        <f>Capability!$F$7</f>
        <v/>
      </c>
      <c r="H332">
        <f>(1+3*0.8525/1.128379)*Capability!$F$7</f>
        <v/>
      </c>
      <c r="I332">
        <f>IF(ISNUMBER(B332),IF(OR(B332&gt;D332,B332&lt;E332),"OUT",""),"")</f>
        <v/>
      </c>
    </row>
    <row r="333">
      <c r="A333" t="n">
        <v>329</v>
      </c>
      <c r="B333">
        <f>IF(ISNUMBER(Capability!B338),Capability!B338,NA())</f>
        <v/>
      </c>
      <c r="C333">
        <f>Capability!$F$5</f>
        <v/>
      </c>
      <c r="D333">
        <f>Capability!$F$5+3*Capability!$F$8</f>
        <v/>
      </c>
      <c r="E333">
        <f>Capability!$F$5-3*Capability!$F$8</f>
        <v/>
      </c>
      <c r="F333">
        <f>IF(ISNUMBER(Capability!C338),Capability!C338,NA())</f>
        <v/>
      </c>
      <c r="G333">
        <f>Capability!$F$7</f>
        <v/>
      </c>
      <c r="H333">
        <f>(1+3*0.8525/1.128379)*Capability!$F$7</f>
        <v/>
      </c>
      <c r="I333">
        <f>IF(ISNUMBER(B333),IF(OR(B333&gt;D333,B333&lt;E333),"OUT",""),"")</f>
        <v/>
      </c>
    </row>
    <row r="334">
      <c r="A334" t="n">
        <v>330</v>
      </c>
      <c r="B334">
        <f>IF(ISNUMBER(Capability!B339),Capability!B339,NA())</f>
        <v/>
      </c>
      <c r="C334">
        <f>Capability!$F$5</f>
        <v/>
      </c>
      <c r="D334">
        <f>Capability!$F$5+3*Capability!$F$8</f>
        <v/>
      </c>
      <c r="E334">
        <f>Capability!$F$5-3*Capability!$F$8</f>
        <v/>
      </c>
      <c r="F334">
        <f>IF(ISNUMBER(Capability!C339),Capability!C339,NA())</f>
        <v/>
      </c>
      <c r="G334">
        <f>Capability!$F$7</f>
        <v/>
      </c>
      <c r="H334">
        <f>(1+3*0.8525/1.128379)*Capability!$F$7</f>
        <v/>
      </c>
      <c r="I334">
        <f>IF(ISNUMBER(B334),IF(OR(B334&gt;D334,B334&lt;E334),"OUT",""),"")</f>
        <v/>
      </c>
    </row>
    <row r="335">
      <c r="A335" t="n">
        <v>331</v>
      </c>
      <c r="B335">
        <f>IF(ISNUMBER(Capability!B340),Capability!B340,NA())</f>
        <v/>
      </c>
      <c r="C335">
        <f>Capability!$F$5</f>
        <v/>
      </c>
      <c r="D335">
        <f>Capability!$F$5+3*Capability!$F$8</f>
        <v/>
      </c>
      <c r="E335">
        <f>Capability!$F$5-3*Capability!$F$8</f>
        <v/>
      </c>
      <c r="F335">
        <f>IF(ISNUMBER(Capability!C340),Capability!C340,NA())</f>
        <v/>
      </c>
      <c r="G335">
        <f>Capability!$F$7</f>
        <v/>
      </c>
      <c r="H335">
        <f>(1+3*0.8525/1.128379)*Capability!$F$7</f>
        <v/>
      </c>
      <c r="I335">
        <f>IF(ISNUMBER(B335),IF(OR(B335&gt;D335,B335&lt;E335),"OUT",""),"")</f>
        <v/>
      </c>
    </row>
    <row r="336">
      <c r="A336" t="n">
        <v>332</v>
      </c>
      <c r="B336">
        <f>IF(ISNUMBER(Capability!B341),Capability!B341,NA())</f>
        <v/>
      </c>
      <c r="C336">
        <f>Capability!$F$5</f>
        <v/>
      </c>
      <c r="D336">
        <f>Capability!$F$5+3*Capability!$F$8</f>
        <v/>
      </c>
      <c r="E336">
        <f>Capability!$F$5-3*Capability!$F$8</f>
        <v/>
      </c>
      <c r="F336">
        <f>IF(ISNUMBER(Capability!C341),Capability!C341,NA())</f>
        <v/>
      </c>
      <c r="G336">
        <f>Capability!$F$7</f>
        <v/>
      </c>
      <c r="H336">
        <f>(1+3*0.8525/1.128379)*Capability!$F$7</f>
        <v/>
      </c>
      <c r="I336">
        <f>IF(ISNUMBER(B336),IF(OR(B336&gt;D336,B336&lt;E336),"OUT",""),"")</f>
        <v/>
      </c>
    </row>
    <row r="337">
      <c r="A337" t="n">
        <v>333</v>
      </c>
      <c r="B337">
        <f>IF(ISNUMBER(Capability!B342),Capability!B342,NA())</f>
        <v/>
      </c>
      <c r="C337">
        <f>Capability!$F$5</f>
        <v/>
      </c>
      <c r="D337">
        <f>Capability!$F$5+3*Capability!$F$8</f>
        <v/>
      </c>
      <c r="E337">
        <f>Capability!$F$5-3*Capability!$F$8</f>
        <v/>
      </c>
      <c r="F337">
        <f>IF(ISNUMBER(Capability!C342),Capability!C342,NA())</f>
        <v/>
      </c>
      <c r="G337">
        <f>Capability!$F$7</f>
        <v/>
      </c>
      <c r="H337">
        <f>(1+3*0.8525/1.128379)*Capability!$F$7</f>
        <v/>
      </c>
      <c r="I337">
        <f>IF(ISNUMBER(B337),IF(OR(B337&gt;D337,B337&lt;E337),"OUT",""),"")</f>
        <v/>
      </c>
    </row>
    <row r="338">
      <c r="A338" t="n">
        <v>334</v>
      </c>
      <c r="B338">
        <f>IF(ISNUMBER(Capability!B343),Capability!B343,NA())</f>
        <v/>
      </c>
      <c r="C338">
        <f>Capability!$F$5</f>
        <v/>
      </c>
      <c r="D338">
        <f>Capability!$F$5+3*Capability!$F$8</f>
        <v/>
      </c>
      <c r="E338">
        <f>Capability!$F$5-3*Capability!$F$8</f>
        <v/>
      </c>
      <c r="F338">
        <f>IF(ISNUMBER(Capability!C343),Capability!C343,NA())</f>
        <v/>
      </c>
      <c r="G338">
        <f>Capability!$F$7</f>
        <v/>
      </c>
      <c r="H338">
        <f>(1+3*0.8525/1.128379)*Capability!$F$7</f>
        <v/>
      </c>
      <c r="I338">
        <f>IF(ISNUMBER(B338),IF(OR(B338&gt;D338,B338&lt;E338),"OUT",""),"")</f>
        <v/>
      </c>
    </row>
    <row r="339">
      <c r="A339" t="n">
        <v>335</v>
      </c>
      <c r="B339">
        <f>IF(ISNUMBER(Capability!B344),Capability!B344,NA())</f>
        <v/>
      </c>
      <c r="C339">
        <f>Capability!$F$5</f>
        <v/>
      </c>
      <c r="D339">
        <f>Capability!$F$5+3*Capability!$F$8</f>
        <v/>
      </c>
      <c r="E339">
        <f>Capability!$F$5-3*Capability!$F$8</f>
        <v/>
      </c>
      <c r="F339">
        <f>IF(ISNUMBER(Capability!C344),Capability!C344,NA())</f>
        <v/>
      </c>
      <c r="G339">
        <f>Capability!$F$7</f>
        <v/>
      </c>
      <c r="H339">
        <f>(1+3*0.8525/1.128379)*Capability!$F$7</f>
        <v/>
      </c>
      <c r="I339">
        <f>IF(ISNUMBER(B339),IF(OR(B339&gt;D339,B339&lt;E339),"OUT",""),"")</f>
        <v/>
      </c>
    </row>
    <row r="340">
      <c r="A340" t="n">
        <v>336</v>
      </c>
      <c r="B340">
        <f>IF(ISNUMBER(Capability!B345),Capability!B345,NA())</f>
        <v/>
      </c>
      <c r="C340">
        <f>Capability!$F$5</f>
        <v/>
      </c>
      <c r="D340">
        <f>Capability!$F$5+3*Capability!$F$8</f>
        <v/>
      </c>
      <c r="E340">
        <f>Capability!$F$5-3*Capability!$F$8</f>
        <v/>
      </c>
      <c r="F340">
        <f>IF(ISNUMBER(Capability!C345),Capability!C345,NA())</f>
        <v/>
      </c>
      <c r="G340">
        <f>Capability!$F$7</f>
        <v/>
      </c>
      <c r="H340">
        <f>(1+3*0.8525/1.128379)*Capability!$F$7</f>
        <v/>
      </c>
      <c r="I340">
        <f>IF(ISNUMBER(B340),IF(OR(B340&gt;D340,B340&lt;E340),"OUT",""),"")</f>
        <v/>
      </c>
    </row>
    <row r="341">
      <c r="A341" t="n">
        <v>337</v>
      </c>
      <c r="B341">
        <f>IF(ISNUMBER(Capability!B346),Capability!B346,NA())</f>
        <v/>
      </c>
      <c r="C341">
        <f>Capability!$F$5</f>
        <v/>
      </c>
      <c r="D341">
        <f>Capability!$F$5+3*Capability!$F$8</f>
        <v/>
      </c>
      <c r="E341">
        <f>Capability!$F$5-3*Capability!$F$8</f>
        <v/>
      </c>
      <c r="F341">
        <f>IF(ISNUMBER(Capability!C346),Capability!C346,NA())</f>
        <v/>
      </c>
      <c r="G341">
        <f>Capability!$F$7</f>
        <v/>
      </c>
      <c r="H341">
        <f>(1+3*0.8525/1.128379)*Capability!$F$7</f>
        <v/>
      </c>
      <c r="I341">
        <f>IF(ISNUMBER(B341),IF(OR(B341&gt;D341,B341&lt;E341),"OUT",""),"")</f>
        <v/>
      </c>
    </row>
    <row r="342">
      <c r="A342" t="n">
        <v>338</v>
      </c>
      <c r="B342">
        <f>IF(ISNUMBER(Capability!B347),Capability!B347,NA())</f>
        <v/>
      </c>
      <c r="C342">
        <f>Capability!$F$5</f>
        <v/>
      </c>
      <c r="D342">
        <f>Capability!$F$5+3*Capability!$F$8</f>
        <v/>
      </c>
      <c r="E342">
        <f>Capability!$F$5-3*Capability!$F$8</f>
        <v/>
      </c>
      <c r="F342">
        <f>IF(ISNUMBER(Capability!C347),Capability!C347,NA())</f>
        <v/>
      </c>
      <c r="G342">
        <f>Capability!$F$7</f>
        <v/>
      </c>
      <c r="H342">
        <f>(1+3*0.8525/1.128379)*Capability!$F$7</f>
        <v/>
      </c>
      <c r="I342">
        <f>IF(ISNUMBER(B342),IF(OR(B342&gt;D342,B342&lt;E342),"OUT",""),"")</f>
        <v/>
      </c>
    </row>
    <row r="343">
      <c r="A343" t="n">
        <v>339</v>
      </c>
      <c r="B343">
        <f>IF(ISNUMBER(Capability!B348),Capability!B348,NA())</f>
        <v/>
      </c>
      <c r="C343">
        <f>Capability!$F$5</f>
        <v/>
      </c>
      <c r="D343">
        <f>Capability!$F$5+3*Capability!$F$8</f>
        <v/>
      </c>
      <c r="E343">
        <f>Capability!$F$5-3*Capability!$F$8</f>
        <v/>
      </c>
      <c r="F343">
        <f>IF(ISNUMBER(Capability!C348),Capability!C348,NA())</f>
        <v/>
      </c>
      <c r="G343">
        <f>Capability!$F$7</f>
        <v/>
      </c>
      <c r="H343">
        <f>(1+3*0.8525/1.128379)*Capability!$F$7</f>
        <v/>
      </c>
      <c r="I343">
        <f>IF(ISNUMBER(B343),IF(OR(B343&gt;D343,B343&lt;E343),"OUT",""),"")</f>
        <v/>
      </c>
    </row>
    <row r="344">
      <c r="A344" t="n">
        <v>340</v>
      </c>
      <c r="B344">
        <f>IF(ISNUMBER(Capability!B349),Capability!B349,NA())</f>
        <v/>
      </c>
      <c r="C344">
        <f>Capability!$F$5</f>
        <v/>
      </c>
      <c r="D344">
        <f>Capability!$F$5+3*Capability!$F$8</f>
        <v/>
      </c>
      <c r="E344">
        <f>Capability!$F$5-3*Capability!$F$8</f>
        <v/>
      </c>
      <c r="F344">
        <f>IF(ISNUMBER(Capability!C349),Capability!C349,NA())</f>
        <v/>
      </c>
      <c r="G344">
        <f>Capability!$F$7</f>
        <v/>
      </c>
      <c r="H344">
        <f>(1+3*0.8525/1.128379)*Capability!$F$7</f>
        <v/>
      </c>
      <c r="I344">
        <f>IF(ISNUMBER(B344),IF(OR(B344&gt;D344,B344&lt;E344),"OUT",""),"")</f>
        <v/>
      </c>
    </row>
    <row r="345">
      <c r="A345" t="n">
        <v>341</v>
      </c>
      <c r="B345">
        <f>IF(ISNUMBER(Capability!B350),Capability!B350,NA())</f>
        <v/>
      </c>
      <c r="C345">
        <f>Capability!$F$5</f>
        <v/>
      </c>
      <c r="D345">
        <f>Capability!$F$5+3*Capability!$F$8</f>
        <v/>
      </c>
      <c r="E345">
        <f>Capability!$F$5-3*Capability!$F$8</f>
        <v/>
      </c>
      <c r="F345">
        <f>IF(ISNUMBER(Capability!C350),Capability!C350,NA())</f>
        <v/>
      </c>
      <c r="G345">
        <f>Capability!$F$7</f>
        <v/>
      </c>
      <c r="H345">
        <f>(1+3*0.8525/1.128379)*Capability!$F$7</f>
        <v/>
      </c>
      <c r="I345">
        <f>IF(ISNUMBER(B345),IF(OR(B345&gt;D345,B345&lt;E345),"OUT",""),"")</f>
        <v/>
      </c>
    </row>
    <row r="346">
      <c r="A346" t="n">
        <v>342</v>
      </c>
      <c r="B346">
        <f>IF(ISNUMBER(Capability!B351),Capability!B351,NA())</f>
        <v/>
      </c>
      <c r="C346">
        <f>Capability!$F$5</f>
        <v/>
      </c>
      <c r="D346">
        <f>Capability!$F$5+3*Capability!$F$8</f>
        <v/>
      </c>
      <c r="E346">
        <f>Capability!$F$5-3*Capability!$F$8</f>
        <v/>
      </c>
      <c r="F346">
        <f>IF(ISNUMBER(Capability!C351),Capability!C351,NA())</f>
        <v/>
      </c>
      <c r="G346">
        <f>Capability!$F$7</f>
        <v/>
      </c>
      <c r="H346">
        <f>(1+3*0.8525/1.128379)*Capability!$F$7</f>
        <v/>
      </c>
      <c r="I346">
        <f>IF(ISNUMBER(B346),IF(OR(B346&gt;D346,B346&lt;E346),"OUT",""),"")</f>
        <v/>
      </c>
    </row>
    <row r="347">
      <c r="A347" t="n">
        <v>343</v>
      </c>
      <c r="B347">
        <f>IF(ISNUMBER(Capability!B352),Capability!B352,NA())</f>
        <v/>
      </c>
      <c r="C347">
        <f>Capability!$F$5</f>
        <v/>
      </c>
      <c r="D347">
        <f>Capability!$F$5+3*Capability!$F$8</f>
        <v/>
      </c>
      <c r="E347">
        <f>Capability!$F$5-3*Capability!$F$8</f>
        <v/>
      </c>
      <c r="F347">
        <f>IF(ISNUMBER(Capability!C352),Capability!C352,NA())</f>
        <v/>
      </c>
      <c r="G347">
        <f>Capability!$F$7</f>
        <v/>
      </c>
      <c r="H347">
        <f>(1+3*0.8525/1.128379)*Capability!$F$7</f>
        <v/>
      </c>
      <c r="I347">
        <f>IF(ISNUMBER(B347),IF(OR(B347&gt;D347,B347&lt;E347),"OUT",""),"")</f>
        <v/>
      </c>
    </row>
    <row r="348">
      <c r="A348" t="n">
        <v>344</v>
      </c>
      <c r="B348">
        <f>IF(ISNUMBER(Capability!B353),Capability!B353,NA())</f>
        <v/>
      </c>
      <c r="C348">
        <f>Capability!$F$5</f>
        <v/>
      </c>
      <c r="D348">
        <f>Capability!$F$5+3*Capability!$F$8</f>
        <v/>
      </c>
      <c r="E348">
        <f>Capability!$F$5-3*Capability!$F$8</f>
        <v/>
      </c>
      <c r="F348">
        <f>IF(ISNUMBER(Capability!C353),Capability!C353,NA())</f>
        <v/>
      </c>
      <c r="G348">
        <f>Capability!$F$7</f>
        <v/>
      </c>
      <c r="H348">
        <f>(1+3*0.8525/1.128379)*Capability!$F$7</f>
        <v/>
      </c>
      <c r="I348">
        <f>IF(ISNUMBER(B348),IF(OR(B348&gt;D348,B348&lt;E348),"OUT",""),"")</f>
        <v/>
      </c>
    </row>
    <row r="349">
      <c r="A349" t="n">
        <v>345</v>
      </c>
      <c r="B349">
        <f>IF(ISNUMBER(Capability!B354),Capability!B354,NA())</f>
        <v/>
      </c>
      <c r="C349">
        <f>Capability!$F$5</f>
        <v/>
      </c>
      <c r="D349">
        <f>Capability!$F$5+3*Capability!$F$8</f>
        <v/>
      </c>
      <c r="E349">
        <f>Capability!$F$5-3*Capability!$F$8</f>
        <v/>
      </c>
      <c r="F349">
        <f>IF(ISNUMBER(Capability!C354),Capability!C354,NA())</f>
        <v/>
      </c>
      <c r="G349">
        <f>Capability!$F$7</f>
        <v/>
      </c>
      <c r="H349">
        <f>(1+3*0.8525/1.128379)*Capability!$F$7</f>
        <v/>
      </c>
      <c r="I349">
        <f>IF(ISNUMBER(B349),IF(OR(B349&gt;D349,B349&lt;E349),"OUT",""),"")</f>
        <v/>
      </c>
    </row>
    <row r="350">
      <c r="A350" t="n">
        <v>346</v>
      </c>
      <c r="B350">
        <f>IF(ISNUMBER(Capability!B355),Capability!B355,NA())</f>
        <v/>
      </c>
      <c r="C350">
        <f>Capability!$F$5</f>
        <v/>
      </c>
      <c r="D350">
        <f>Capability!$F$5+3*Capability!$F$8</f>
        <v/>
      </c>
      <c r="E350">
        <f>Capability!$F$5-3*Capability!$F$8</f>
        <v/>
      </c>
      <c r="F350">
        <f>IF(ISNUMBER(Capability!C355),Capability!C355,NA())</f>
        <v/>
      </c>
      <c r="G350">
        <f>Capability!$F$7</f>
        <v/>
      </c>
      <c r="H350">
        <f>(1+3*0.8525/1.128379)*Capability!$F$7</f>
        <v/>
      </c>
      <c r="I350">
        <f>IF(ISNUMBER(B350),IF(OR(B350&gt;D350,B350&lt;E350),"OUT",""),"")</f>
        <v/>
      </c>
    </row>
    <row r="351">
      <c r="A351" t="n">
        <v>347</v>
      </c>
      <c r="B351">
        <f>IF(ISNUMBER(Capability!B356),Capability!B356,NA())</f>
        <v/>
      </c>
      <c r="C351">
        <f>Capability!$F$5</f>
        <v/>
      </c>
      <c r="D351">
        <f>Capability!$F$5+3*Capability!$F$8</f>
        <v/>
      </c>
      <c r="E351">
        <f>Capability!$F$5-3*Capability!$F$8</f>
        <v/>
      </c>
      <c r="F351">
        <f>IF(ISNUMBER(Capability!C356),Capability!C356,NA())</f>
        <v/>
      </c>
      <c r="G351">
        <f>Capability!$F$7</f>
        <v/>
      </c>
      <c r="H351">
        <f>(1+3*0.8525/1.128379)*Capability!$F$7</f>
        <v/>
      </c>
      <c r="I351">
        <f>IF(ISNUMBER(B351),IF(OR(B351&gt;D351,B351&lt;E351),"OUT",""),"")</f>
        <v/>
      </c>
    </row>
    <row r="352">
      <c r="A352" t="n">
        <v>348</v>
      </c>
      <c r="B352">
        <f>IF(ISNUMBER(Capability!B357),Capability!B357,NA())</f>
        <v/>
      </c>
      <c r="C352">
        <f>Capability!$F$5</f>
        <v/>
      </c>
      <c r="D352">
        <f>Capability!$F$5+3*Capability!$F$8</f>
        <v/>
      </c>
      <c r="E352">
        <f>Capability!$F$5-3*Capability!$F$8</f>
        <v/>
      </c>
      <c r="F352">
        <f>IF(ISNUMBER(Capability!C357),Capability!C357,NA())</f>
        <v/>
      </c>
      <c r="G352">
        <f>Capability!$F$7</f>
        <v/>
      </c>
      <c r="H352">
        <f>(1+3*0.8525/1.128379)*Capability!$F$7</f>
        <v/>
      </c>
      <c r="I352">
        <f>IF(ISNUMBER(B352),IF(OR(B352&gt;D352,B352&lt;E352),"OUT",""),"")</f>
        <v/>
      </c>
    </row>
    <row r="353">
      <c r="A353" t="n">
        <v>349</v>
      </c>
      <c r="B353">
        <f>IF(ISNUMBER(Capability!B358),Capability!B358,NA())</f>
        <v/>
      </c>
      <c r="C353">
        <f>Capability!$F$5</f>
        <v/>
      </c>
      <c r="D353">
        <f>Capability!$F$5+3*Capability!$F$8</f>
        <v/>
      </c>
      <c r="E353">
        <f>Capability!$F$5-3*Capability!$F$8</f>
        <v/>
      </c>
      <c r="F353">
        <f>IF(ISNUMBER(Capability!C358),Capability!C358,NA())</f>
        <v/>
      </c>
      <c r="G353">
        <f>Capability!$F$7</f>
        <v/>
      </c>
      <c r="H353">
        <f>(1+3*0.8525/1.128379)*Capability!$F$7</f>
        <v/>
      </c>
      <c r="I353">
        <f>IF(ISNUMBER(B353),IF(OR(B353&gt;D353,B353&lt;E353),"OUT",""),"")</f>
        <v/>
      </c>
    </row>
    <row r="354">
      <c r="A354" t="n">
        <v>350</v>
      </c>
      <c r="B354">
        <f>IF(ISNUMBER(Capability!B359),Capability!B359,NA())</f>
        <v/>
      </c>
      <c r="C354">
        <f>Capability!$F$5</f>
        <v/>
      </c>
      <c r="D354">
        <f>Capability!$F$5+3*Capability!$F$8</f>
        <v/>
      </c>
      <c r="E354">
        <f>Capability!$F$5-3*Capability!$F$8</f>
        <v/>
      </c>
      <c r="F354">
        <f>IF(ISNUMBER(Capability!C359),Capability!C359,NA())</f>
        <v/>
      </c>
      <c r="G354">
        <f>Capability!$F$7</f>
        <v/>
      </c>
      <c r="H354">
        <f>(1+3*0.8525/1.128379)*Capability!$F$7</f>
        <v/>
      </c>
      <c r="I354">
        <f>IF(ISNUMBER(B354),IF(OR(B354&gt;D354,B354&lt;E354),"OUT",""),"")</f>
        <v/>
      </c>
    </row>
    <row r="355">
      <c r="A355" t="n">
        <v>351</v>
      </c>
      <c r="B355">
        <f>IF(ISNUMBER(Capability!B360),Capability!B360,NA())</f>
        <v/>
      </c>
      <c r="C355">
        <f>Capability!$F$5</f>
        <v/>
      </c>
      <c r="D355">
        <f>Capability!$F$5+3*Capability!$F$8</f>
        <v/>
      </c>
      <c r="E355">
        <f>Capability!$F$5-3*Capability!$F$8</f>
        <v/>
      </c>
      <c r="F355">
        <f>IF(ISNUMBER(Capability!C360),Capability!C360,NA())</f>
        <v/>
      </c>
      <c r="G355">
        <f>Capability!$F$7</f>
        <v/>
      </c>
      <c r="H355">
        <f>(1+3*0.8525/1.128379)*Capability!$F$7</f>
        <v/>
      </c>
      <c r="I355">
        <f>IF(ISNUMBER(B355),IF(OR(B355&gt;D355,B355&lt;E355),"OUT",""),"")</f>
        <v/>
      </c>
    </row>
    <row r="356">
      <c r="A356" t="n">
        <v>352</v>
      </c>
      <c r="B356">
        <f>IF(ISNUMBER(Capability!B361),Capability!B361,NA())</f>
        <v/>
      </c>
      <c r="C356">
        <f>Capability!$F$5</f>
        <v/>
      </c>
      <c r="D356">
        <f>Capability!$F$5+3*Capability!$F$8</f>
        <v/>
      </c>
      <c r="E356">
        <f>Capability!$F$5-3*Capability!$F$8</f>
        <v/>
      </c>
      <c r="F356">
        <f>IF(ISNUMBER(Capability!C361),Capability!C361,NA())</f>
        <v/>
      </c>
      <c r="G356">
        <f>Capability!$F$7</f>
        <v/>
      </c>
      <c r="H356">
        <f>(1+3*0.8525/1.128379)*Capability!$F$7</f>
        <v/>
      </c>
      <c r="I356">
        <f>IF(ISNUMBER(B356),IF(OR(B356&gt;D356,B356&lt;E356),"OUT",""),"")</f>
        <v/>
      </c>
    </row>
    <row r="357">
      <c r="A357" t="n">
        <v>353</v>
      </c>
      <c r="B357">
        <f>IF(ISNUMBER(Capability!B362),Capability!B362,NA())</f>
        <v/>
      </c>
      <c r="C357">
        <f>Capability!$F$5</f>
        <v/>
      </c>
      <c r="D357">
        <f>Capability!$F$5+3*Capability!$F$8</f>
        <v/>
      </c>
      <c r="E357">
        <f>Capability!$F$5-3*Capability!$F$8</f>
        <v/>
      </c>
      <c r="F357">
        <f>IF(ISNUMBER(Capability!C362),Capability!C362,NA())</f>
        <v/>
      </c>
      <c r="G357">
        <f>Capability!$F$7</f>
        <v/>
      </c>
      <c r="H357">
        <f>(1+3*0.8525/1.128379)*Capability!$F$7</f>
        <v/>
      </c>
      <c r="I357">
        <f>IF(ISNUMBER(B357),IF(OR(B357&gt;D357,B357&lt;E357),"OUT",""),"")</f>
        <v/>
      </c>
    </row>
    <row r="358">
      <c r="A358" t="n">
        <v>354</v>
      </c>
      <c r="B358">
        <f>IF(ISNUMBER(Capability!B363),Capability!B363,NA())</f>
        <v/>
      </c>
      <c r="C358">
        <f>Capability!$F$5</f>
        <v/>
      </c>
      <c r="D358">
        <f>Capability!$F$5+3*Capability!$F$8</f>
        <v/>
      </c>
      <c r="E358">
        <f>Capability!$F$5-3*Capability!$F$8</f>
        <v/>
      </c>
      <c r="F358">
        <f>IF(ISNUMBER(Capability!C363),Capability!C363,NA())</f>
        <v/>
      </c>
      <c r="G358">
        <f>Capability!$F$7</f>
        <v/>
      </c>
      <c r="H358">
        <f>(1+3*0.8525/1.128379)*Capability!$F$7</f>
        <v/>
      </c>
      <c r="I358">
        <f>IF(ISNUMBER(B358),IF(OR(B358&gt;D358,B358&lt;E358),"OUT",""),"")</f>
        <v/>
      </c>
    </row>
    <row r="359">
      <c r="A359" t="n">
        <v>355</v>
      </c>
      <c r="B359">
        <f>IF(ISNUMBER(Capability!B364),Capability!B364,NA())</f>
        <v/>
      </c>
      <c r="C359">
        <f>Capability!$F$5</f>
        <v/>
      </c>
      <c r="D359">
        <f>Capability!$F$5+3*Capability!$F$8</f>
        <v/>
      </c>
      <c r="E359">
        <f>Capability!$F$5-3*Capability!$F$8</f>
        <v/>
      </c>
      <c r="F359">
        <f>IF(ISNUMBER(Capability!C364),Capability!C364,NA())</f>
        <v/>
      </c>
      <c r="G359">
        <f>Capability!$F$7</f>
        <v/>
      </c>
      <c r="H359">
        <f>(1+3*0.8525/1.128379)*Capability!$F$7</f>
        <v/>
      </c>
      <c r="I359">
        <f>IF(ISNUMBER(B359),IF(OR(B359&gt;D359,B359&lt;E359),"OUT",""),"")</f>
        <v/>
      </c>
    </row>
    <row r="360">
      <c r="A360" t="n">
        <v>356</v>
      </c>
      <c r="B360">
        <f>IF(ISNUMBER(Capability!B365),Capability!B365,NA())</f>
        <v/>
      </c>
      <c r="C360">
        <f>Capability!$F$5</f>
        <v/>
      </c>
      <c r="D360">
        <f>Capability!$F$5+3*Capability!$F$8</f>
        <v/>
      </c>
      <c r="E360">
        <f>Capability!$F$5-3*Capability!$F$8</f>
        <v/>
      </c>
      <c r="F360">
        <f>IF(ISNUMBER(Capability!C365),Capability!C365,NA())</f>
        <v/>
      </c>
      <c r="G360">
        <f>Capability!$F$7</f>
        <v/>
      </c>
      <c r="H360">
        <f>(1+3*0.8525/1.128379)*Capability!$F$7</f>
        <v/>
      </c>
      <c r="I360">
        <f>IF(ISNUMBER(B360),IF(OR(B360&gt;D360,B360&lt;E360),"OUT",""),"")</f>
        <v/>
      </c>
    </row>
    <row r="361">
      <c r="A361" t="n">
        <v>357</v>
      </c>
      <c r="B361">
        <f>IF(ISNUMBER(Capability!B366),Capability!B366,NA())</f>
        <v/>
      </c>
      <c r="C361">
        <f>Capability!$F$5</f>
        <v/>
      </c>
      <c r="D361">
        <f>Capability!$F$5+3*Capability!$F$8</f>
        <v/>
      </c>
      <c r="E361">
        <f>Capability!$F$5-3*Capability!$F$8</f>
        <v/>
      </c>
      <c r="F361">
        <f>IF(ISNUMBER(Capability!C366),Capability!C366,NA())</f>
        <v/>
      </c>
      <c r="G361">
        <f>Capability!$F$7</f>
        <v/>
      </c>
      <c r="H361">
        <f>(1+3*0.8525/1.128379)*Capability!$F$7</f>
        <v/>
      </c>
      <c r="I361">
        <f>IF(ISNUMBER(B361),IF(OR(B361&gt;D361,B361&lt;E361),"OUT",""),"")</f>
        <v/>
      </c>
    </row>
    <row r="362">
      <c r="A362" t="n">
        <v>358</v>
      </c>
      <c r="B362">
        <f>IF(ISNUMBER(Capability!B367),Capability!B367,NA())</f>
        <v/>
      </c>
      <c r="C362">
        <f>Capability!$F$5</f>
        <v/>
      </c>
      <c r="D362">
        <f>Capability!$F$5+3*Capability!$F$8</f>
        <v/>
      </c>
      <c r="E362">
        <f>Capability!$F$5-3*Capability!$F$8</f>
        <v/>
      </c>
      <c r="F362">
        <f>IF(ISNUMBER(Capability!C367),Capability!C367,NA())</f>
        <v/>
      </c>
      <c r="G362">
        <f>Capability!$F$7</f>
        <v/>
      </c>
      <c r="H362">
        <f>(1+3*0.8525/1.128379)*Capability!$F$7</f>
        <v/>
      </c>
      <c r="I362">
        <f>IF(ISNUMBER(B362),IF(OR(B362&gt;D362,B362&lt;E362),"OUT",""),"")</f>
        <v/>
      </c>
    </row>
    <row r="363">
      <c r="A363" t="n">
        <v>359</v>
      </c>
      <c r="B363">
        <f>IF(ISNUMBER(Capability!B368),Capability!B368,NA())</f>
        <v/>
      </c>
      <c r="C363">
        <f>Capability!$F$5</f>
        <v/>
      </c>
      <c r="D363">
        <f>Capability!$F$5+3*Capability!$F$8</f>
        <v/>
      </c>
      <c r="E363">
        <f>Capability!$F$5-3*Capability!$F$8</f>
        <v/>
      </c>
      <c r="F363">
        <f>IF(ISNUMBER(Capability!C368),Capability!C368,NA())</f>
        <v/>
      </c>
      <c r="G363">
        <f>Capability!$F$7</f>
        <v/>
      </c>
      <c r="H363">
        <f>(1+3*0.8525/1.128379)*Capability!$F$7</f>
        <v/>
      </c>
      <c r="I363">
        <f>IF(ISNUMBER(B363),IF(OR(B363&gt;D363,B363&lt;E363),"OUT",""),"")</f>
        <v/>
      </c>
    </row>
    <row r="364">
      <c r="A364" t="n">
        <v>360</v>
      </c>
      <c r="B364">
        <f>IF(ISNUMBER(Capability!B369),Capability!B369,NA())</f>
        <v/>
      </c>
      <c r="C364">
        <f>Capability!$F$5</f>
        <v/>
      </c>
      <c r="D364">
        <f>Capability!$F$5+3*Capability!$F$8</f>
        <v/>
      </c>
      <c r="E364">
        <f>Capability!$F$5-3*Capability!$F$8</f>
        <v/>
      </c>
      <c r="F364">
        <f>IF(ISNUMBER(Capability!C369),Capability!C369,NA())</f>
        <v/>
      </c>
      <c r="G364">
        <f>Capability!$F$7</f>
        <v/>
      </c>
      <c r="H364">
        <f>(1+3*0.8525/1.128379)*Capability!$F$7</f>
        <v/>
      </c>
      <c r="I364">
        <f>IF(ISNUMBER(B364),IF(OR(B364&gt;D364,B364&lt;E364),"OUT",""),"")</f>
        <v/>
      </c>
    </row>
    <row r="365">
      <c r="A365" t="n">
        <v>361</v>
      </c>
      <c r="B365">
        <f>IF(ISNUMBER(Capability!B370),Capability!B370,NA())</f>
        <v/>
      </c>
      <c r="C365">
        <f>Capability!$F$5</f>
        <v/>
      </c>
      <c r="D365">
        <f>Capability!$F$5+3*Capability!$F$8</f>
        <v/>
      </c>
      <c r="E365">
        <f>Capability!$F$5-3*Capability!$F$8</f>
        <v/>
      </c>
      <c r="F365">
        <f>IF(ISNUMBER(Capability!C370),Capability!C370,NA())</f>
        <v/>
      </c>
      <c r="G365">
        <f>Capability!$F$7</f>
        <v/>
      </c>
      <c r="H365">
        <f>(1+3*0.8525/1.128379)*Capability!$F$7</f>
        <v/>
      </c>
      <c r="I365">
        <f>IF(ISNUMBER(B365),IF(OR(B365&gt;D365,B365&lt;E365),"OUT",""),"")</f>
        <v/>
      </c>
    </row>
    <row r="366">
      <c r="A366" t="n">
        <v>362</v>
      </c>
      <c r="B366">
        <f>IF(ISNUMBER(Capability!B371),Capability!B371,NA())</f>
        <v/>
      </c>
      <c r="C366">
        <f>Capability!$F$5</f>
        <v/>
      </c>
      <c r="D366">
        <f>Capability!$F$5+3*Capability!$F$8</f>
        <v/>
      </c>
      <c r="E366">
        <f>Capability!$F$5-3*Capability!$F$8</f>
        <v/>
      </c>
      <c r="F366">
        <f>IF(ISNUMBER(Capability!C371),Capability!C371,NA())</f>
        <v/>
      </c>
      <c r="G366">
        <f>Capability!$F$7</f>
        <v/>
      </c>
      <c r="H366">
        <f>(1+3*0.8525/1.128379)*Capability!$F$7</f>
        <v/>
      </c>
      <c r="I366">
        <f>IF(ISNUMBER(B366),IF(OR(B366&gt;D366,B366&lt;E366),"OUT",""),"")</f>
        <v/>
      </c>
    </row>
    <row r="367">
      <c r="A367" t="n">
        <v>363</v>
      </c>
      <c r="B367">
        <f>IF(ISNUMBER(Capability!B372),Capability!B372,NA())</f>
        <v/>
      </c>
      <c r="C367">
        <f>Capability!$F$5</f>
        <v/>
      </c>
      <c r="D367">
        <f>Capability!$F$5+3*Capability!$F$8</f>
        <v/>
      </c>
      <c r="E367">
        <f>Capability!$F$5-3*Capability!$F$8</f>
        <v/>
      </c>
      <c r="F367">
        <f>IF(ISNUMBER(Capability!C372),Capability!C372,NA())</f>
        <v/>
      </c>
      <c r="G367">
        <f>Capability!$F$7</f>
        <v/>
      </c>
      <c r="H367">
        <f>(1+3*0.8525/1.128379)*Capability!$F$7</f>
        <v/>
      </c>
      <c r="I367">
        <f>IF(ISNUMBER(B367),IF(OR(B367&gt;D367,B367&lt;E367),"OUT",""),"")</f>
        <v/>
      </c>
    </row>
    <row r="368">
      <c r="A368" t="n">
        <v>364</v>
      </c>
      <c r="B368">
        <f>IF(ISNUMBER(Capability!B373),Capability!B373,NA())</f>
        <v/>
      </c>
      <c r="C368">
        <f>Capability!$F$5</f>
        <v/>
      </c>
      <c r="D368">
        <f>Capability!$F$5+3*Capability!$F$8</f>
        <v/>
      </c>
      <c r="E368">
        <f>Capability!$F$5-3*Capability!$F$8</f>
        <v/>
      </c>
      <c r="F368">
        <f>IF(ISNUMBER(Capability!C373),Capability!C373,NA())</f>
        <v/>
      </c>
      <c r="G368">
        <f>Capability!$F$7</f>
        <v/>
      </c>
      <c r="H368">
        <f>(1+3*0.8525/1.128379)*Capability!$F$7</f>
        <v/>
      </c>
      <c r="I368">
        <f>IF(ISNUMBER(B368),IF(OR(B368&gt;D368,B368&lt;E368),"OUT",""),"")</f>
        <v/>
      </c>
    </row>
    <row r="369">
      <c r="A369" t="n">
        <v>365</v>
      </c>
      <c r="B369">
        <f>IF(ISNUMBER(Capability!B374),Capability!B374,NA())</f>
        <v/>
      </c>
      <c r="C369">
        <f>Capability!$F$5</f>
        <v/>
      </c>
      <c r="D369">
        <f>Capability!$F$5+3*Capability!$F$8</f>
        <v/>
      </c>
      <c r="E369">
        <f>Capability!$F$5-3*Capability!$F$8</f>
        <v/>
      </c>
      <c r="F369">
        <f>IF(ISNUMBER(Capability!C374),Capability!C374,NA())</f>
        <v/>
      </c>
      <c r="G369">
        <f>Capability!$F$7</f>
        <v/>
      </c>
      <c r="H369">
        <f>(1+3*0.8525/1.128379)*Capability!$F$7</f>
        <v/>
      </c>
      <c r="I369">
        <f>IF(ISNUMBER(B369),IF(OR(B369&gt;D369,B369&lt;E369),"OUT",""),"")</f>
        <v/>
      </c>
    </row>
    <row r="370">
      <c r="A370" t="n">
        <v>366</v>
      </c>
      <c r="B370">
        <f>IF(ISNUMBER(Capability!B375),Capability!B375,NA())</f>
        <v/>
      </c>
      <c r="C370">
        <f>Capability!$F$5</f>
        <v/>
      </c>
      <c r="D370">
        <f>Capability!$F$5+3*Capability!$F$8</f>
        <v/>
      </c>
      <c r="E370">
        <f>Capability!$F$5-3*Capability!$F$8</f>
        <v/>
      </c>
      <c r="F370">
        <f>IF(ISNUMBER(Capability!C375),Capability!C375,NA())</f>
        <v/>
      </c>
      <c r="G370">
        <f>Capability!$F$7</f>
        <v/>
      </c>
      <c r="H370">
        <f>(1+3*0.8525/1.128379)*Capability!$F$7</f>
        <v/>
      </c>
      <c r="I370">
        <f>IF(ISNUMBER(B370),IF(OR(B370&gt;D370,B370&lt;E370),"OUT",""),"")</f>
        <v/>
      </c>
    </row>
    <row r="371">
      <c r="A371" t="n">
        <v>367</v>
      </c>
      <c r="B371">
        <f>IF(ISNUMBER(Capability!B376),Capability!B376,NA())</f>
        <v/>
      </c>
      <c r="C371">
        <f>Capability!$F$5</f>
        <v/>
      </c>
      <c r="D371">
        <f>Capability!$F$5+3*Capability!$F$8</f>
        <v/>
      </c>
      <c r="E371">
        <f>Capability!$F$5-3*Capability!$F$8</f>
        <v/>
      </c>
      <c r="F371">
        <f>IF(ISNUMBER(Capability!C376),Capability!C376,NA())</f>
        <v/>
      </c>
      <c r="G371">
        <f>Capability!$F$7</f>
        <v/>
      </c>
      <c r="H371">
        <f>(1+3*0.8525/1.128379)*Capability!$F$7</f>
        <v/>
      </c>
      <c r="I371">
        <f>IF(ISNUMBER(B371),IF(OR(B371&gt;D371,B371&lt;E371),"OUT",""),"")</f>
        <v/>
      </c>
    </row>
    <row r="372">
      <c r="A372" t="n">
        <v>368</v>
      </c>
      <c r="B372">
        <f>IF(ISNUMBER(Capability!B377),Capability!B377,NA())</f>
        <v/>
      </c>
      <c r="C372">
        <f>Capability!$F$5</f>
        <v/>
      </c>
      <c r="D372">
        <f>Capability!$F$5+3*Capability!$F$8</f>
        <v/>
      </c>
      <c r="E372">
        <f>Capability!$F$5-3*Capability!$F$8</f>
        <v/>
      </c>
      <c r="F372">
        <f>IF(ISNUMBER(Capability!C377),Capability!C377,NA())</f>
        <v/>
      </c>
      <c r="G372">
        <f>Capability!$F$7</f>
        <v/>
      </c>
      <c r="H372">
        <f>(1+3*0.8525/1.128379)*Capability!$F$7</f>
        <v/>
      </c>
      <c r="I372">
        <f>IF(ISNUMBER(B372),IF(OR(B372&gt;D372,B372&lt;E372),"OUT",""),"")</f>
        <v/>
      </c>
    </row>
    <row r="373">
      <c r="A373" t="n">
        <v>369</v>
      </c>
      <c r="B373">
        <f>IF(ISNUMBER(Capability!B378),Capability!B378,NA())</f>
        <v/>
      </c>
      <c r="C373">
        <f>Capability!$F$5</f>
        <v/>
      </c>
      <c r="D373">
        <f>Capability!$F$5+3*Capability!$F$8</f>
        <v/>
      </c>
      <c r="E373">
        <f>Capability!$F$5-3*Capability!$F$8</f>
        <v/>
      </c>
      <c r="F373">
        <f>IF(ISNUMBER(Capability!C378),Capability!C378,NA())</f>
        <v/>
      </c>
      <c r="G373">
        <f>Capability!$F$7</f>
        <v/>
      </c>
      <c r="H373">
        <f>(1+3*0.8525/1.128379)*Capability!$F$7</f>
        <v/>
      </c>
      <c r="I373">
        <f>IF(ISNUMBER(B373),IF(OR(B373&gt;D373,B373&lt;E373),"OUT",""),"")</f>
        <v/>
      </c>
    </row>
    <row r="374">
      <c r="A374" t="n">
        <v>370</v>
      </c>
      <c r="B374">
        <f>IF(ISNUMBER(Capability!B379),Capability!B379,NA())</f>
        <v/>
      </c>
      <c r="C374">
        <f>Capability!$F$5</f>
        <v/>
      </c>
      <c r="D374">
        <f>Capability!$F$5+3*Capability!$F$8</f>
        <v/>
      </c>
      <c r="E374">
        <f>Capability!$F$5-3*Capability!$F$8</f>
        <v/>
      </c>
      <c r="F374">
        <f>IF(ISNUMBER(Capability!C379),Capability!C379,NA())</f>
        <v/>
      </c>
      <c r="G374">
        <f>Capability!$F$7</f>
        <v/>
      </c>
      <c r="H374">
        <f>(1+3*0.8525/1.128379)*Capability!$F$7</f>
        <v/>
      </c>
      <c r="I374">
        <f>IF(ISNUMBER(B374),IF(OR(B374&gt;D374,B374&lt;E374),"OUT",""),"")</f>
        <v/>
      </c>
    </row>
    <row r="375">
      <c r="A375" t="n">
        <v>371</v>
      </c>
      <c r="B375">
        <f>IF(ISNUMBER(Capability!B380),Capability!B380,NA())</f>
        <v/>
      </c>
      <c r="C375">
        <f>Capability!$F$5</f>
        <v/>
      </c>
      <c r="D375">
        <f>Capability!$F$5+3*Capability!$F$8</f>
        <v/>
      </c>
      <c r="E375">
        <f>Capability!$F$5-3*Capability!$F$8</f>
        <v/>
      </c>
      <c r="F375">
        <f>IF(ISNUMBER(Capability!C380),Capability!C380,NA())</f>
        <v/>
      </c>
      <c r="G375">
        <f>Capability!$F$7</f>
        <v/>
      </c>
      <c r="H375">
        <f>(1+3*0.8525/1.128379)*Capability!$F$7</f>
        <v/>
      </c>
      <c r="I375">
        <f>IF(ISNUMBER(B375),IF(OR(B375&gt;D375,B375&lt;E375),"OUT",""),"")</f>
        <v/>
      </c>
    </row>
    <row r="376">
      <c r="A376" t="n">
        <v>372</v>
      </c>
      <c r="B376">
        <f>IF(ISNUMBER(Capability!B381),Capability!B381,NA())</f>
        <v/>
      </c>
      <c r="C376">
        <f>Capability!$F$5</f>
        <v/>
      </c>
      <c r="D376">
        <f>Capability!$F$5+3*Capability!$F$8</f>
        <v/>
      </c>
      <c r="E376">
        <f>Capability!$F$5-3*Capability!$F$8</f>
        <v/>
      </c>
      <c r="F376">
        <f>IF(ISNUMBER(Capability!C381),Capability!C381,NA())</f>
        <v/>
      </c>
      <c r="G376">
        <f>Capability!$F$7</f>
        <v/>
      </c>
      <c r="H376">
        <f>(1+3*0.8525/1.128379)*Capability!$F$7</f>
        <v/>
      </c>
      <c r="I376">
        <f>IF(ISNUMBER(B376),IF(OR(B376&gt;D376,B376&lt;E376),"OUT",""),"")</f>
        <v/>
      </c>
    </row>
    <row r="377">
      <c r="A377" t="n">
        <v>373</v>
      </c>
      <c r="B377">
        <f>IF(ISNUMBER(Capability!B382),Capability!B382,NA())</f>
        <v/>
      </c>
      <c r="C377">
        <f>Capability!$F$5</f>
        <v/>
      </c>
      <c r="D377">
        <f>Capability!$F$5+3*Capability!$F$8</f>
        <v/>
      </c>
      <c r="E377">
        <f>Capability!$F$5-3*Capability!$F$8</f>
        <v/>
      </c>
      <c r="F377">
        <f>IF(ISNUMBER(Capability!C382),Capability!C382,NA())</f>
        <v/>
      </c>
      <c r="G377">
        <f>Capability!$F$7</f>
        <v/>
      </c>
      <c r="H377">
        <f>(1+3*0.8525/1.128379)*Capability!$F$7</f>
        <v/>
      </c>
      <c r="I377">
        <f>IF(ISNUMBER(B377),IF(OR(B377&gt;D377,B377&lt;E377),"OUT",""),"")</f>
        <v/>
      </c>
    </row>
    <row r="378">
      <c r="A378" t="n">
        <v>374</v>
      </c>
      <c r="B378">
        <f>IF(ISNUMBER(Capability!B383),Capability!B383,NA())</f>
        <v/>
      </c>
      <c r="C378">
        <f>Capability!$F$5</f>
        <v/>
      </c>
      <c r="D378">
        <f>Capability!$F$5+3*Capability!$F$8</f>
        <v/>
      </c>
      <c r="E378">
        <f>Capability!$F$5-3*Capability!$F$8</f>
        <v/>
      </c>
      <c r="F378">
        <f>IF(ISNUMBER(Capability!C383),Capability!C383,NA())</f>
        <v/>
      </c>
      <c r="G378">
        <f>Capability!$F$7</f>
        <v/>
      </c>
      <c r="H378">
        <f>(1+3*0.8525/1.128379)*Capability!$F$7</f>
        <v/>
      </c>
      <c r="I378">
        <f>IF(ISNUMBER(B378),IF(OR(B378&gt;D378,B378&lt;E378),"OUT",""),"")</f>
        <v/>
      </c>
    </row>
    <row r="379">
      <c r="A379" t="n">
        <v>375</v>
      </c>
      <c r="B379">
        <f>IF(ISNUMBER(Capability!B384),Capability!B384,NA())</f>
        <v/>
      </c>
      <c r="C379">
        <f>Capability!$F$5</f>
        <v/>
      </c>
      <c r="D379">
        <f>Capability!$F$5+3*Capability!$F$8</f>
        <v/>
      </c>
      <c r="E379">
        <f>Capability!$F$5-3*Capability!$F$8</f>
        <v/>
      </c>
      <c r="F379">
        <f>IF(ISNUMBER(Capability!C384),Capability!C384,NA())</f>
        <v/>
      </c>
      <c r="G379">
        <f>Capability!$F$7</f>
        <v/>
      </c>
      <c r="H379">
        <f>(1+3*0.8525/1.128379)*Capability!$F$7</f>
        <v/>
      </c>
      <c r="I379">
        <f>IF(ISNUMBER(B379),IF(OR(B379&gt;D379,B379&lt;E379),"OUT",""),"")</f>
        <v/>
      </c>
    </row>
    <row r="380">
      <c r="A380" t="n">
        <v>376</v>
      </c>
      <c r="B380">
        <f>IF(ISNUMBER(Capability!B385),Capability!B385,NA())</f>
        <v/>
      </c>
      <c r="C380">
        <f>Capability!$F$5</f>
        <v/>
      </c>
      <c r="D380">
        <f>Capability!$F$5+3*Capability!$F$8</f>
        <v/>
      </c>
      <c r="E380">
        <f>Capability!$F$5-3*Capability!$F$8</f>
        <v/>
      </c>
      <c r="F380">
        <f>IF(ISNUMBER(Capability!C385),Capability!C385,NA())</f>
        <v/>
      </c>
      <c r="G380">
        <f>Capability!$F$7</f>
        <v/>
      </c>
      <c r="H380">
        <f>(1+3*0.8525/1.128379)*Capability!$F$7</f>
        <v/>
      </c>
      <c r="I380">
        <f>IF(ISNUMBER(B380),IF(OR(B380&gt;D380,B380&lt;E380),"OUT",""),"")</f>
        <v/>
      </c>
    </row>
    <row r="381">
      <c r="A381" t="n">
        <v>377</v>
      </c>
      <c r="B381">
        <f>IF(ISNUMBER(Capability!B386),Capability!B386,NA())</f>
        <v/>
      </c>
      <c r="C381">
        <f>Capability!$F$5</f>
        <v/>
      </c>
      <c r="D381">
        <f>Capability!$F$5+3*Capability!$F$8</f>
        <v/>
      </c>
      <c r="E381">
        <f>Capability!$F$5-3*Capability!$F$8</f>
        <v/>
      </c>
      <c r="F381">
        <f>IF(ISNUMBER(Capability!C386),Capability!C386,NA())</f>
        <v/>
      </c>
      <c r="G381">
        <f>Capability!$F$7</f>
        <v/>
      </c>
      <c r="H381">
        <f>(1+3*0.8525/1.128379)*Capability!$F$7</f>
        <v/>
      </c>
      <c r="I381">
        <f>IF(ISNUMBER(B381),IF(OR(B381&gt;D381,B381&lt;E381),"OUT",""),"")</f>
        <v/>
      </c>
    </row>
    <row r="382">
      <c r="A382" t="n">
        <v>378</v>
      </c>
      <c r="B382">
        <f>IF(ISNUMBER(Capability!B387),Capability!B387,NA())</f>
        <v/>
      </c>
      <c r="C382">
        <f>Capability!$F$5</f>
        <v/>
      </c>
      <c r="D382">
        <f>Capability!$F$5+3*Capability!$F$8</f>
        <v/>
      </c>
      <c r="E382">
        <f>Capability!$F$5-3*Capability!$F$8</f>
        <v/>
      </c>
      <c r="F382">
        <f>IF(ISNUMBER(Capability!C387),Capability!C387,NA())</f>
        <v/>
      </c>
      <c r="G382">
        <f>Capability!$F$7</f>
        <v/>
      </c>
      <c r="H382">
        <f>(1+3*0.8525/1.128379)*Capability!$F$7</f>
        <v/>
      </c>
      <c r="I382">
        <f>IF(ISNUMBER(B382),IF(OR(B382&gt;D382,B382&lt;E382),"OUT",""),"")</f>
        <v/>
      </c>
    </row>
    <row r="383">
      <c r="A383" t="n">
        <v>379</v>
      </c>
      <c r="B383">
        <f>IF(ISNUMBER(Capability!B388),Capability!B388,NA())</f>
        <v/>
      </c>
      <c r="C383">
        <f>Capability!$F$5</f>
        <v/>
      </c>
      <c r="D383">
        <f>Capability!$F$5+3*Capability!$F$8</f>
        <v/>
      </c>
      <c r="E383">
        <f>Capability!$F$5-3*Capability!$F$8</f>
        <v/>
      </c>
      <c r="F383">
        <f>IF(ISNUMBER(Capability!C388),Capability!C388,NA())</f>
        <v/>
      </c>
      <c r="G383">
        <f>Capability!$F$7</f>
        <v/>
      </c>
      <c r="H383">
        <f>(1+3*0.8525/1.128379)*Capability!$F$7</f>
        <v/>
      </c>
      <c r="I383">
        <f>IF(ISNUMBER(B383),IF(OR(B383&gt;D383,B383&lt;E383),"OUT",""),"")</f>
        <v/>
      </c>
    </row>
    <row r="384">
      <c r="A384" t="n">
        <v>380</v>
      </c>
      <c r="B384">
        <f>IF(ISNUMBER(Capability!B389),Capability!B389,NA())</f>
        <v/>
      </c>
      <c r="C384">
        <f>Capability!$F$5</f>
        <v/>
      </c>
      <c r="D384">
        <f>Capability!$F$5+3*Capability!$F$8</f>
        <v/>
      </c>
      <c r="E384">
        <f>Capability!$F$5-3*Capability!$F$8</f>
        <v/>
      </c>
      <c r="F384">
        <f>IF(ISNUMBER(Capability!C389),Capability!C389,NA())</f>
        <v/>
      </c>
      <c r="G384">
        <f>Capability!$F$7</f>
        <v/>
      </c>
      <c r="H384">
        <f>(1+3*0.8525/1.128379)*Capability!$F$7</f>
        <v/>
      </c>
      <c r="I384">
        <f>IF(ISNUMBER(B384),IF(OR(B384&gt;D384,B384&lt;E384),"OUT",""),"")</f>
        <v/>
      </c>
    </row>
    <row r="385">
      <c r="A385" t="n">
        <v>381</v>
      </c>
      <c r="B385">
        <f>IF(ISNUMBER(Capability!B390),Capability!B390,NA())</f>
        <v/>
      </c>
      <c r="C385">
        <f>Capability!$F$5</f>
        <v/>
      </c>
      <c r="D385">
        <f>Capability!$F$5+3*Capability!$F$8</f>
        <v/>
      </c>
      <c r="E385">
        <f>Capability!$F$5-3*Capability!$F$8</f>
        <v/>
      </c>
      <c r="F385">
        <f>IF(ISNUMBER(Capability!C390),Capability!C390,NA())</f>
        <v/>
      </c>
      <c r="G385">
        <f>Capability!$F$7</f>
        <v/>
      </c>
      <c r="H385">
        <f>(1+3*0.8525/1.128379)*Capability!$F$7</f>
        <v/>
      </c>
      <c r="I385">
        <f>IF(ISNUMBER(B385),IF(OR(B385&gt;D385,B385&lt;E385),"OUT",""),"")</f>
        <v/>
      </c>
    </row>
    <row r="386">
      <c r="A386" t="n">
        <v>382</v>
      </c>
      <c r="B386">
        <f>IF(ISNUMBER(Capability!B391),Capability!B391,NA())</f>
        <v/>
      </c>
      <c r="C386">
        <f>Capability!$F$5</f>
        <v/>
      </c>
      <c r="D386">
        <f>Capability!$F$5+3*Capability!$F$8</f>
        <v/>
      </c>
      <c r="E386">
        <f>Capability!$F$5-3*Capability!$F$8</f>
        <v/>
      </c>
      <c r="F386">
        <f>IF(ISNUMBER(Capability!C391),Capability!C391,NA())</f>
        <v/>
      </c>
      <c r="G386">
        <f>Capability!$F$7</f>
        <v/>
      </c>
      <c r="H386">
        <f>(1+3*0.8525/1.128379)*Capability!$F$7</f>
        <v/>
      </c>
      <c r="I386">
        <f>IF(ISNUMBER(B386),IF(OR(B386&gt;D386,B386&lt;E386),"OUT",""),"")</f>
        <v/>
      </c>
    </row>
    <row r="387">
      <c r="A387" t="n">
        <v>383</v>
      </c>
      <c r="B387">
        <f>IF(ISNUMBER(Capability!B392),Capability!B392,NA())</f>
        <v/>
      </c>
      <c r="C387">
        <f>Capability!$F$5</f>
        <v/>
      </c>
      <c r="D387">
        <f>Capability!$F$5+3*Capability!$F$8</f>
        <v/>
      </c>
      <c r="E387">
        <f>Capability!$F$5-3*Capability!$F$8</f>
        <v/>
      </c>
      <c r="F387">
        <f>IF(ISNUMBER(Capability!C392),Capability!C392,NA())</f>
        <v/>
      </c>
      <c r="G387">
        <f>Capability!$F$7</f>
        <v/>
      </c>
      <c r="H387">
        <f>(1+3*0.8525/1.128379)*Capability!$F$7</f>
        <v/>
      </c>
      <c r="I387">
        <f>IF(ISNUMBER(B387),IF(OR(B387&gt;D387,B387&lt;E387),"OUT",""),"")</f>
        <v/>
      </c>
    </row>
    <row r="388">
      <c r="A388" t="n">
        <v>384</v>
      </c>
      <c r="B388">
        <f>IF(ISNUMBER(Capability!B393),Capability!B393,NA())</f>
        <v/>
      </c>
      <c r="C388">
        <f>Capability!$F$5</f>
        <v/>
      </c>
      <c r="D388">
        <f>Capability!$F$5+3*Capability!$F$8</f>
        <v/>
      </c>
      <c r="E388">
        <f>Capability!$F$5-3*Capability!$F$8</f>
        <v/>
      </c>
      <c r="F388">
        <f>IF(ISNUMBER(Capability!C393),Capability!C393,NA())</f>
        <v/>
      </c>
      <c r="G388">
        <f>Capability!$F$7</f>
        <v/>
      </c>
      <c r="H388">
        <f>(1+3*0.8525/1.128379)*Capability!$F$7</f>
        <v/>
      </c>
      <c r="I388">
        <f>IF(ISNUMBER(B388),IF(OR(B388&gt;D388,B388&lt;E388),"OUT",""),"")</f>
        <v/>
      </c>
    </row>
    <row r="389">
      <c r="A389" t="n">
        <v>385</v>
      </c>
      <c r="B389">
        <f>IF(ISNUMBER(Capability!B394),Capability!B394,NA())</f>
        <v/>
      </c>
      <c r="C389">
        <f>Capability!$F$5</f>
        <v/>
      </c>
      <c r="D389">
        <f>Capability!$F$5+3*Capability!$F$8</f>
        <v/>
      </c>
      <c r="E389">
        <f>Capability!$F$5-3*Capability!$F$8</f>
        <v/>
      </c>
      <c r="F389">
        <f>IF(ISNUMBER(Capability!C394),Capability!C394,NA())</f>
        <v/>
      </c>
      <c r="G389">
        <f>Capability!$F$7</f>
        <v/>
      </c>
      <c r="H389">
        <f>(1+3*0.8525/1.128379)*Capability!$F$7</f>
        <v/>
      </c>
      <c r="I389">
        <f>IF(ISNUMBER(B389),IF(OR(B389&gt;D389,B389&lt;E389),"OUT",""),"")</f>
        <v/>
      </c>
    </row>
    <row r="390">
      <c r="A390" t="n">
        <v>386</v>
      </c>
      <c r="B390">
        <f>IF(ISNUMBER(Capability!B395),Capability!B395,NA())</f>
        <v/>
      </c>
      <c r="C390">
        <f>Capability!$F$5</f>
        <v/>
      </c>
      <c r="D390">
        <f>Capability!$F$5+3*Capability!$F$8</f>
        <v/>
      </c>
      <c r="E390">
        <f>Capability!$F$5-3*Capability!$F$8</f>
        <v/>
      </c>
      <c r="F390">
        <f>IF(ISNUMBER(Capability!C395),Capability!C395,NA())</f>
        <v/>
      </c>
      <c r="G390">
        <f>Capability!$F$7</f>
        <v/>
      </c>
      <c r="H390">
        <f>(1+3*0.8525/1.128379)*Capability!$F$7</f>
        <v/>
      </c>
      <c r="I390">
        <f>IF(ISNUMBER(B390),IF(OR(B390&gt;D390,B390&lt;E390),"OUT",""),"")</f>
        <v/>
      </c>
    </row>
    <row r="391">
      <c r="A391" t="n">
        <v>387</v>
      </c>
      <c r="B391">
        <f>IF(ISNUMBER(Capability!B396),Capability!B396,NA())</f>
        <v/>
      </c>
      <c r="C391">
        <f>Capability!$F$5</f>
        <v/>
      </c>
      <c r="D391">
        <f>Capability!$F$5+3*Capability!$F$8</f>
        <v/>
      </c>
      <c r="E391">
        <f>Capability!$F$5-3*Capability!$F$8</f>
        <v/>
      </c>
      <c r="F391">
        <f>IF(ISNUMBER(Capability!C396),Capability!C396,NA())</f>
        <v/>
      </c>
      <c r="G391">
        <f>Capability!$F$7</f>
        <v/>
      </c>
      <c r="H391">
        <f>(1+3*0.8525/1.128379)*Capability!$F$7</f>
        <v/>
      </c>
      <c r="I391">
        <f>IF(ISNUMBER(B391),IF(OR(B391&gt;D391,B391&lt;E391),"OUT",""),"")</f>
        <v/>
      </c>
    </row>
    <row r="392">
      <c r="A392" t="n">
        <v>388</v>
      </c>
      <c r="B392">
        <f>IF(ISNUMBER(Capability!B397),Capability!B397,NA())</f>
        <v/>
      </c>
      <c r="C392">
        <f>Capability!$F$5</f>
        <v/>
      </c>
      <c r="D392">
        <f>Capability!$F$5+3*Capability!$F$8</f>
        <v/>
      </c>
      <c r="E392">
        <f>Capability!$F$5-3*Capability!$F$8</f>
        <v/>
      </c>
      <c r="F392">
        <f>IF(ISNUMBER(Capability!C397),Capability!C397,NA())</f>
        <v/>
      </c>
      <c r="G392">
        <f>Capability!$F$7</f>
        <v/>
      </c>
      <c r="H392">
        <f>(1+3*0.8525/1.128379)*Capability!$F$7</f>
        <v/>
      </c>
      <c r="I392">
        <f>IF(ISNUMBER(B392),IF(OR(B392&gt;D392,B392&lt;E392),"OUT",""),"")</f>
        <v/>
      </c>
    </row>
    <row r="393">
      <c r="A393" t="n">
        <v>389</v>
      </c>
      <c r="B393">
        <f>IF(ISNUMBER(Capability!B398),Capability!B398,NA())</f>
        <v/>
      </c>
      <c r="C393">
        <f>Capability!$F$5</f>
        <v/>
      </c>
      <c r="D393">
        <f>Capability!$F$5+3*Capability!$F$8</f>
        <v/>
      </c>
      <c r="E393">
        <f>Capability!$F$5-3*Capability!$F$8</f>
        <v/>
      </c>
      <c r="F393">
        <f>IF(ISNUMBER(Capability!C398),Capability!C398,NA())</f>
        <v/>
      </c>
      <c r="G393">
        <f>Capability!$F$7</f>
        <v/>
      </c>
      <c r="H393">
        <f>(1+3*0.8525/1.128379)*Capability!$F$7</f>
        <v/>
      </c>
      <c r="I393">
        <f>IF(ISNUMBER(B393),IF(OR(B393&gt;D393,B393&lt;E393),"OUT",""),"")</f>
        <v/>
      </c>
    </row>
    <row r="394">
      <c r="A394" t="n">
        <v>390</v>
      </c>
      <c r="B394">
        <f>IF(ISNUMBER(Capability!B399),Capability!B399,NA())</f>
        <v/>
      </c>
      <c r="C394">
        <f>Capability!$F$5</f>
        <v/>
      </c>
      <c r="D394">
        <f>Capability!$F$5+3*Capability!$F$8</f>
        <v/>
      </c>
      <c r="E394">
        <f>Capability!$F$5-3*Capability!$F$8</f>
        <v/>
      </c>
      <c r="F394">
        <f>IF(ISNUMBER(Capability!C399),Capability!C399,NA())</f>
        <v/>
      </c>
      <c r="G394">
        <f>Capability!$F$7</f>
        <v/>
      </c>
      <c r="H394">
        <f>(1+3*0.8525/1.128379)*Capability!$F$7</f>
        <v/>
      </c>
      <c r="I394">
        <f>IF(ISNUMBER(B394),IF(OR(B394&gt;D394,B394&lt;E394),"OUT",""),"")</f>
        <v/>
      </c>
    </row>
    <row r="395">
      <c r="A395" t="n">
        <v>391</v>
      </c>
      <c r="B395">
        <f>IF(ISNUMBER(Capability!B400),Capability!B400,NA())</f>
        <v/>
      </c>
      <c r="C395">
        <f>Capability!$F$5</f>
        <v/>
      </c>
      <c r="D395">
        <f>Capability!$F$5+3*Capability!$F$8</f>
        <v/>
      </c>
      <c r="E395">
        <f>Capability!$F$5-3*Capability!$F$8</f>
        <v/>
      </c>
      <c r="F395">
        <f>IF(ISNUMBER(Capability!C400),Capability!C400,NA())</f>
        <v/>
      </c>
      <c r="G395">
        <f>Capability!$F$7</f>
        <v/>
      </c>
      <c r="H395">
        <f>(1+3*0.8525/1.128379)*Capability!$F$7</f>
        <v/>
      </c>
      <c r="I395">
        <f>IF(ISNUMBER(B395),IF(OR(B395&gt;D395,B395&lt;E395),"OUT",""),"")</f>
        <v/>
      </c>
    </row>
    <row r="396">
      <c r="A396" t="n">
        <v>392</v>
      </c>
      <c r="B396">
        <f>IF(ISNUMBER(Capability!B401),Capability!B401,NA())</f>
        <v/>
      </c>
      <c r="C396">
        <f>Capability!$F$5</f>
        <v/>
      </c>
      <c r="D396">
        <f>Capability!$F$5+3*Capability!$F$8</f>
        <v/>
      </c>
      <c r="E396">
        <f>Capability!$F$5-3*Capability!$F$8</f>
        <v/>
      </c>
      <c r="F396">
        <f>IF(ISNUMBER(Capability!C401),Capability!C401,NA())</f>
        <v/>
      </c>
      <c r="G396">
        <f>Capability!$F$7</f>
        <v/>
      </c>
      <c r="H396">
        <f>(1+3*0.8525/1.128379)*Capability!$F$7</f>
        <v/>
      </c>
      <c r="I396">
        <f>IF(ISNUMBER(B396),IF(OR(B396&gt;D396,B396&lt;E396),"OUT",""),"")</f>
        <v/>
      </c>
    </row>
    <row r="397">
      <c r="A397" t="n">
        <v>393</v>
      </c>
      <c r="B397">
        <f>IF(ISNUMBER(Capability!B402),Capability!B402,NA())</f>
        <v/>
      </c>
      <c r="C397">
        <f>Capability!$F$5</f>
        <v/>
      </c>
      <c r="D397">
        <f>Capability!$F$5+3*Capability!$F$8</f>
        <v/>
      </c>
      <c r="E397">
        <f>Capability!$F$5-3*Capability!$F$8</f>
        <v/>
      </c>
      <c r="F397">
        <f>IF(ISNUMBER(Capability!C402),Capability!C402,NA())</f>
        <v/>
      </c>
      <c r="G397">
        <f>Capability!$F$7</f>
        <v/>
      </c>
      <c r="H397">
        <f>(1+3*0.8525/1.128379)*Capability!$F$7</f>
        <v/>
      </c>
      <c r="I397">
        <f>IF(ISNUMBER(B397),IF(OR(B397&gt;D397,B397&lt;E397),"OUT",""),"")</f>
        <v/>
      </c>
    </row>
    <row r="398">
      <c r="A398" t="n">
        <v>394</v>
      </c>
      <c r="B398">
        <f>IF(ISNUMBER(Capability!B403),Capability!B403,NA())</f>
        <v/>
      </c>
      <c r="C398">
        <f>Capability!$F$5</f>
        <v/>
      </c>
      <c r="D398">
        <f>Capability!$F$5+3*Capability!$F$8</f>
        <v/>
      </c>
      <c r="E398">
        <f>Capability!$F$5-3*Capability!$F$8</f>
        <v/>
      </c>
      <c r="F398">
        <f>IF(ISNUMBER(Capability!C403),Capability!C403,NA())</f>
        <v/>
      </c>
      <c r="G398">
        <f>Capability!$F$7</f>
        <v/>
      </c>
      <c r="H398">
        <f>(1+3*0.8525/1.128379)*Capability!$F$7</f>
        <v/>
      </c>
      <c r="I398">
        <f>IF(ISNUMBER(B398),IF(OR(B398&gt;D398,B398&lt;E398),"OUT",""),"")</f>
        <v/>
      </c>
    </row>
    <row r="399">
      <c r="A399" t="n">
        <v>395</v>
      </c>
      <c r="B399">
        <f>IF(ISNUMBER(Capability!B404),Capability!B404,NA())</f>
        <v/>
      </c>
      <c r="C399">
        <f>Capability!$F$5</f>
        <v/>
      </c>
      <c r="D399">
        <f>Capability!$F$5+3*Capability!$F$8</f>
        <v/>
      </c>
      <c r="E399">
        <f>Capability!$F$5-3*Capability!$F$8</f>
        <v/>
      </c>
      <c r="F399">
        <f>IF(ISNUMBER(Capability!C404),Capability!C404,NA())</f>
        <v/>
      </c>
      <c r="G399">
        <f>Capability!$F$7</f>
        <v/>
      </c>
      <c r="H399">
        <f>(1+3*0.8525/1.128379)*Capability!$F$7</f>
        <v/>
      </c>
      <c r="I399">
        <f>IF(ISNUMBER(B399),IF(OR(B399&gt;D399,B399&lt;E399),"OUT",""),"")</f>
        <v/>
      </c>
    </row>
    <row r="400">
      <c r="A400" t="n">
        <v>396</v>
      </c>
      <c r="B400">
        <f>IF(ISNUMBER(Capability!B405),Capability!B405,NA())</f>
        <v/>
      </c>
      <c r="C400">
        <f>Capability!$F$5</f>
        <v/>
      </c>
      <c r="D400">
        <f>Capability!$F$5+3*Capability!$F$8</f>
        <v/>
      </c>
      <c r="E400">
        <f>Capability!$F$5-3*Capability!$F$8</f>
        <v/>
      </c>
      <c r="F400">
        <f>IF(ISNUMBER(Capability!C405),Capability!C405,NA())</f>
        <v/>
      </c>
      <c r="G400">
        <f>Capability!$F$7</f>
        <v/>
      </c>
      <c r="H400">
        <f>(1+3*0.8525/1.128379)*Capability!$F$7</f>
        <v/>
      </c>
      <c r="I400">
        <f>IF(ISNUMBER(B400),IF(OR(B400&gt;D400,B400&lt;E400),"OUT",""),"")</f>
        <v/>
      </c>
    </row>
    <row r="401">
      <c r="A401" t="n">
        <v>397</v>
      </c>
      <c r="B401">
        <f>IF(ISNUMBER(Capability!B406),Capability!B406,NA())</f>
        <v/>
      </c>
      <c r="C401">
        <f>Capability!$F$5</f>
        <v/>
      </c>
      <c r="D401">
        <f>Capability!$F$5+3*Capability!$F$8</f>
        <v/>
      </c>
      <c r="E401">
        <f>Capability!$F$5-3*Capability!$F$8</f>
        <v/>
      </c>
      <c r="F401">
        <f>IF(ISNUMBER(Capability!C406),Capability!C406,NA())</f>
        <v/>
      </c>
      <c r="G401">
        <f>Capability!$F$7</f>
        <v/>
      </c>
      <c r="H401">
        <f>(1+3*0.8525/1.128379)*Capability!$F$7</f>
        <v/>
      </c>
      <c r="I401">
        <f>IF(ISNUMBER(B401),IF(OR(B401&gt;D401,B401&lt;E401),"OUT",""),"")</f>
        <v/>
      </c>
    </row>
    <row r="402">
      <c r="A402" t="n">
        <v>398</v>
      </c>
      <c r="B402">
        <f>IF(ISNUMBER(Capability!B407),Capability!B407,NA())</f>
        <v/>
      </c>
      <c r="C402">
        <f>Capability!$F$5</f>
        <v/>
      </c>
      <c r="D402">
        <f>Capability!$F$5+3*Capability!$F$8</f>
        <v/>
      </c>
      <c r="E402">
        <f>Capability!$F$5-3*Capability!$F$8</f>
        <v/>
      </c>
      <c r="F402">
        <f>IF(ISNUMBER(Capability!C407),Capability!C407,NA())</f>
        <v/>
      </c>
      <c r="G402">
        <f>Capability!$F$7</f>
        <v/>
      </c>
      <c r="H402">
        <f>(1+3*0.8525/1.128379)*Capability!$F$7</f>
        <v/>
      </c>
      <c r="I402">
        <f>IF(ISNUMBER(B402),IF(OR(B402&gt;D402,B402&lt;E402),"OUT",""),"")</f>
        <v/>
      </c>
    </row>
    <row r="403">
      <c r="A403" t="n">
        <v>399</v>
      </c>
      <c r="B403">
        <f>IF(ISNUMBER(Capability!B408),Capability!B408,NA())</f>
        <v/>
      </c>
      <c r="C403">
        <f>Capability!$F$5</f>
        <v/>
      </c>
      <c r="D403">
        <f>Capability!$F$5+3*Capability!$F$8</f>
        <v/>
      </c>
      <c r="E403">
        <f>Capability!$F$5-3*Capability!$F$8</f>
        <v/>
      </c>
      <c r="F403">
        <f>IF(ISNUMBER(Capability!C408),Capability!C408,NA())</f>
        <v/>
      </c>
      <c r="G403">
        <f>Capability!$F$7</f>
        <v/>
      </c>
      <c r="H403">
        <f>(1+3*0.8525/1.128379)*Capability!$F$7</f>
        <v/>
      </c>
      <c r="I403">
        <f>IF(ISNUMBER(B403),IF(OR(B403&gt;D403,B403&lt;E403),"OUT",""),"")</f>
        <v/>
      </c>
    </row>
    <row r="404">
      <c r="A404" t="n">
        <v>400</v>
      </c>
      <c r="B404">
        <f>IF(ISNUMBER(Capability!B409),Capability!B409,NA())</f>
        <v/>
      </c>
      <c r="C404">
        <f>Capability!$F$5</f>
        <v/>
      </c>
      <c r="D404">
        <f>Capability!$F$5+3*Capability!$F$8</f>
        <v/>
      </c>
      <c r="E404">
        <f>Capability!$F$5-3*Capability!$F$8</f>
        <v/>
      </c>
      <c r="F404">
        <f>IF(ISNUMBER(Capability!C409),Capability!C409,NA())</f>
        <v/>
      </c>
      <c r="G404">
        <f>Capability!$F$7</f>
        <v/>
      </c>
      <c r="H404">
        <f>(1+3*0.8525/1.128379)*Capability!$F$7</f>
        <v/>
      </c>
      <c r="I404">
        <f>IF(ISNUMBER(B404),IF(OR(B404&gt;D404,B404&lt;E404),"OUT",""),"")</f>
        <v/>
      </c>
    </row>
    <row r="405">
      <c r="A405" t="n">
        <v>401</v>
      </c>
      <c r="B405">
        <f>IF(ISNUMBER(Capability!B410),Capability!B410,NA())</f>
        <v/>
      </c>
      <c r="C405">
        <f>Capability!$F$5</f>
        <v/>
      </c>
      <c r="D405">
        <f>Capability!$F$5+3*Capability!$F$8</f>
        <v/>
      </c>
      <c r="E405">
        <f>Capability!$F$5-3*Capability!$F$8</f>
        <v/>
      </c>
      <c r="F405">
        <f>IF(ISNUMBER(Capability!C410),Capability!C410,NA())</f>
        <v/>
      </c>
      <c r="G405">
        <f>Capability!$F$7</f>
        <v/>
      </c>
      <c r="H405">
        <f>(1+3*0.8525/1.128379)*Capability!$F$7</f>
        <v/>
      </c>
      <c r="I405">
        <f>IF(ISNUMBER(B405),IF(OR(B405&gt;D405,B405&lt;E405),"OUT",""),"")</f>
        <v/>
      </c>
    </row>
    <row r="406">
      <c r="A406" t="n">
        <v>402</v>
      </c>
      <c r="B406">
        <f>IF(ISNUMBER(Capability!B411),Capability!B411,NA())</f>
        <v/>
      </c>
      <c r="C406">
        <f>Capability!$F$5</f>
        <v/>
      </c>
      <c r="D406">
        <f>Capability!$F$5+3*Capability!$F$8</f>
        <v/>
      </c>
      <c r="E406">
        <f>Capability!$F$5-3*Capability!$F$8</f>
        <v/>
      </c>
      <c r="F406">
        <f>IF(ISNUMBER(Capability!C411),Capability!C411,NA())</f>
        <v/>
      </c>
      <c r="G406">
        <f>Capability!$F$7</f>
        <v/>
      </c>
      <c r="H406">
        <f>(1+3*0.8525/1.128379)*Capability!$F$7</f>
        <v/>
      </c>
      <c r="I406">
        <f>IF(ISNUMBER(B406),IF(OR(B406&gt;D406,B406&lt;E406),"OUT",""),"")</f>
        <v/>
      </c>
    </row>
    <row r="407">
      <c r="A407" t="n">
        <v>403</v>
      </c>
      <c r="B407">
        <f>IF(ISNUMBER(Capability!B412),Capability!B412,NA())</f>
        <v/>
      </c>
      <c r="C407">
        <f>Capability!$F$5</f>
        <v/>
      </c>
      <c r="D407">
        <f>Capability!$F$5+3*Capability!$F$8</f>
        <v/>
      </c>
      <c r="E407">
        <f>Capability!$F$5-3*Capability!$F$8</f>
        <v/>
      </c>
      <c r="F407">
        <f>IF(ISNUMBER(Capability!C412),Capability!C412,NA())</f>
        <v/>
      </c>
      <c r="G407">
        <f>Capability!$F$7</f>
        <v/>
      </c>
      <c r="H407">
        <f>(1+3*0.8525/1.128379)*Capability!$F$7</f>
        <v/>
      </c>
      <c r="I407">
        <f>IF(ISNUMBER(B407),IF(OR(B407&gt;D407,B407&lt;E407),"OUT",""),"")</f>
        <v/>
      </c>
    </row>
    <row r="408">
      <c r="A408" t="n">
        <v>404</v>
      </c>
      <c r="B408">
        <f>IF(ISNUMBER(Capability!B413),Capability!B413,NA())</f>
        <v/>
      </c>
      <c r="C408">
        <f>Capability!$F$5</f>
        <v/>
      </c>
      <c r="D408">
        <f>Capability!$F$5+3*Capability!$F$8</f>
        <v/>
      </c>
      <c r="E408">
        <f>Capability!$F$5-3*Capability!$F$8</f>
        <v/>
      </c>
      <c r="F408">
        <f>IF(ISNUMBER(Capability!C413),Capability!C413,NA())</f>
        <v/>
      </c>
      <c r="G408">
        <f>Capability!$F$7</f>
        <v/>
      </c>
      <c r="H408">
        <f>(1+3*0.8525/1.128379)*Capability!$F$7</f>
        <v/>
      </c>
      <c r="I408">
        <f>IF(ISNUMBER(B408),IF(OR(B408&gt;D408,B408&lt;E408),"OUT",""),"")</f>
        <v/>
      </c>
    </row>
    <row r="409">
      <c r="A409" t="n">
        <v>405</v>
      </c>
      <c r="B409">
        <f>IF(ISNUMBER(Capability!B414),Capability!B414,NA())</f>
        <v/>
      </c>
      <c r="C409">
        <f>Capability!$F$5</f>
        <v/>
      </c>
      <c r="D409">
        <f>Capability!$F$5+3*Capability!$F$8</f>
        <v/>
      </c>
      <c r="E409">
        <f>Capability!$F$5-3*Capability!$F$8</f>
        <v/>
      </c>
      <c r="F409">
        <f>IF(ISNUMBER(Capability!C414),Capability!C414,NA())</f>
        <v/>
      </c>
      <c r="G409">
        <f>Capability!$F$7</f>
        <v/>
      </c>
      <c r="H409">
        <f>(1+3*0.8525/1.128379)*Capability!$F$7</f>
        <v/>
      </c>
      <c r="I409">
        <f>IF(ISNUMBER(B409),IF(OR(B409&gt;D409,B409&lt;E409),"OUT",""),"")</f>
        <v/>
      </c>
    </row>
    <row r="410">
      <c r="A410" t="n">
        <v>406</v>
      </c>
      <c r="B410">
        <f>IF(ISNUMBER(Capability!B415),Capability!B415,NA())</f>
        <v/>
      </c>
      <c r="C410">
        <f>Capability!$F$5</f>
        <v/>
      </c>
      <c r="D410">
        <f>Capability!$F$5+3*Capability!$F$8</f>
        <v/>
      </c>
      <c r="E410">
        <f>Capability!$F$5-3*Capability!$F$8</f>
        <v/>
      </c>
      <c r="F410">
        <f>IF(ISNUMBER(Capability!C415),Capability!C415,NA())</f>
        <v/>
      </c>
      <c r="G410">
        <f>Capability!$F$7</f>
        <v/>
      </c>
      <c r="H410">
        <f>(1+3*0.8525/1.128379)*Capability!$F$7</f>
        <v/>
      </c>
      <c r="I410">
        <f>IF(ISNUMBER(B410),IF(OR(B410&gt;D410,B410&lt;E410),"OUT",""),"")</f>
        <v/>
      </c>
    </row>
    <row r="411">
      <c r="A411" t="n">
        <v>407</v>
      </c>
      <c r="B411">
        <f>IF(ISNUMBER(Capability!B416),Capability!B416,NA())</f>
        <v/>
      </c>
      <c r="C411">
        <f>Capability!$F$5</f>
        <v/>
      </c>
      <c r="D411">
        <f>Capability!$F$5+3*Capability!$F$8</f>
        <v/>
      </c>
      <c r="E411">
        <f>Capability!$F$5-3*Capability!$F$8</f>
        <v/>
      </c>
      <c r="F411">
        <f>IF(ISNUMBER(Capability!C416),Capability!C416,NA())</f>
        <v/>
      </c>
      <c r="G411">
        <f>Capability!$F$7</f>
        <v/>
      </c>
      <c r="H411">
        <f>(1+3*0.8525/1.128379)*Capability!$F$7</f>
        <v/>
      </c>
      <c r="I411">
        <f>IF(ISNUMBER(B411),IF(OR(B411&gt;D411,B411&lt;E411),"OUT",""),"")</f>
        <v/>
      </c>
    </row>
    <row r="412">
      <c r="A412" t="n">
        <v>408</v>
      </c>
      <c r="B412">
        <f>IF(ISNUMBER(Capability!B417),Capability!B417,NA())</f>
        <v/>
      </c>
      <c r="C412">
        <f>Capability!$F$5</f>
        <v/>
      </c>
      <c r="D412">
        <f>Capability!$F$5+3*Capability!$F$8</f>
        <v/>
      </c>
      <c r="E412">
        <f>Capability!$F$5-3*Capability!$F$8</f>
        <v/>
      </c>
      <c r="F412">
        <f>IF(ISNUMBER(Capability!C417),Capability!C417,NA())</f>
        <v/>
      </c>
      <c r="G412">
        <f>Capability!$F$7</f>
        <v/>
      </c>
      <c r="H412">
        <f>(1+3*0.8525/1.128379)*Capability!$F$7</f>
        <v/>
      </c>
      <c r="I412">
        <f>IF(ISNUMBER(B412),IF(OR(B412&gt;D412,B412&lt;E412),"OUT",""),"")</f>
        <v/>
      </c>
    </row>
    <row r="413">
      <c r="A413" t="n">
        <v>409</v>
      </c>
      <c r="B413">
        <f>IF(ISNUMBER(Capability!B418),Capability!B418,NA())</f>
        <v/>
      </c>
      <c r="C413">
        <f>Capability!$F$5</f>
        <v/>
      </c>
      <c r="D413">
        <f>Capability!$F$5+3*Capability!$F$8</f>
        <v/>
      </c>
      <c r="E413">
        <f>Capability!$F$5-3*Capability!$F$8</f>
        <v/>
      </c>
      <c r="F413">
        <f>IF(ISNUMBER(Capability!C418),Capability!C418,NA())</f>
        <v/>
      </c>
      <c r="G413">
        <f>Capability!$F$7</f>
        <v/>
      </c>
      <c r="H413">
        <f>(1+3*0.8525/1.128379)*Capability!$F$7</f>
        <v/>
      </c>
      <c r="I413">
        <f>IF(ISNUMBER(B413),IF(OR(B413&gt;D413,B413&lt;E413),"OUT",""),"")</f>
        <v/>
      </c>
    </row>
    <row r="414">
      <c r="A414" t="n">
        <v>410</v>
      </c>
      <c r="B414">
        <f>IF(ISNUMBER(Capability!B419),Capability!B419,NA())</f>
        <v/>
      </c>
      <c r="C414">
        <f>Capability!$F$5</f>
        <v/>
      </c>
      <c r="D414">
        <f>Capability!$F$5+3*Capability!$F$8</f>
        <v/>
      </c>
      <c r="E414">
        <f>Capability!$F$5-3*Capability!$F$8</f>
        <v/>
      </c>
      <c r="F414">
        <f>IF(ISNUMBER(Capability!C419),Capability!C419,NA())</f>
        <v/>
      </c>
      <c r="G414">
        <f>Capability!$F$7</f>
        <v/>
      </c>
      <c r="H414">
        <f>(1+3*0.8525/1.128379)*Capability!$F$7</f>
        <v/>
      </c>
      <c r="I414">
        <f>IF(ISNUMBER(B414),IF(OR(B414&gt;D414,B414&lt;E414),"OUT",""),"")</f>
        <v/>
      </c>
    </row>
    <row r="415">
      <c r="A415" t="n">
        <v>411</v>
      </c>
      <c r="B415">
        <f>IF(ISNUMBER(Capability!B420),Capability!B420,NA())</f>
        <v/>
      </c>
      <c r="C415">
        <f>Capability!$F$5</f>
        <v/>
      </c>
      <c r="D415">
        <f>Capability!$F$5+3*Capability!$F$8</f>
        <v/>
      </c>
      <c r="E415">
        <f>Capability!$F$5-3*Capability!$F$8</f>
        <v/>
      </c>
      <c r="F415">
        <f>IF(ISNUMBER(Capability!C420),Capability!C420,NA())</f>
        <v/>
      </c>
      <c r="G415">
        <f>Capability!$F$7</f>
        <v/>
      </c>
      <c r="H415">
        <f>(1+3*0.8525/1.128379)*Capability!$F$7</f>
        <v/>
      </c>
      <c r="I415">
        <f>IF(ISNUMBER(B415),IF(OR(B415&gt;D415,B415&lt;E415),"OUT",""),"")</f>
        <v/>
      </c>
    </row>
    <row r="416">
      <c r="A416" t="n">
        <v>412</v>
      </c>
      <c r="B416">
        <f>IF(ISNUMBER(Capability!B421),Capability!B421,NA())</f>
        <v/>
      </c>
      <c r="C416">
        <f>Capability!$F$5</f>
        <v/>
      </c>
      <c r="D416">
        <f>Capability!$F$5+3*Capability!$F$8</f>
        <v/>
      </c>
      <c r="E416">
        <f>Capability!$F$5-3*Capability!$F$8</f>
        <v/>
      </c>
      <c r="F416">
        <f>IF(ISNUMBER(Capability!C421),Capability!C421,NA())</f>
        <v/>
      </c>
      <c r="G416">
        <f>Capability!$F$7</f>
        <v/>
      </c>
      <c r="H416">
        <f>(1+3*0.8525/1.128379)*Capability!$F$7</f>
        <v/>
      </c>
      <c r="I416">
        <f>IF(ISNUMBER(B416),IF(OR(B416&gt;D416,B416&lt;E416),"OUT",""),"")</f>
        <v/>
      </c>
    </row>
    <row r="417">
      <c r="A417" t="n">
        <v>413</v>
      </c>
      <c r="B417">
        <f>IF(ISNUMBER(Capability!B422),Capability!B422,NA())</f>
        <v/>
      </c>
      <c r="C417">
        <f>Capability!$F$5</f>
        <v/>
      </c>
      <c r="D417">
        <f>Capability!$F$5+3*Capability!$F$8</f>
        <v/>
      </c>
      <c r="E417">
        <f>Capability!$F$5-3*Capability!$F$8</f>
        <v/>
      </c>
      <c r="F417">
        <f>IF(ISNUMBER(Capability!C422),Capability!C422,NA())</f>
        <v/>
      </c>
      <c r="G417">
        <f>Capability!$F$7</f>
        <v/>
      </c>
      <c r="H417">
        <f>(1+3*0.8525/1.128379)*Capability!$F$7</f>
        <v/>
      </c>
      <c r="I417">
        <f>IF(ISNUMBER(B417),IF(OR(B417&gt;D417,B417&lt;E417),"OUT",""),"")</f>
        <v/>
      </c>
    </row>
    <row r="418">
      <c r="A418" t="n">
        <v>414</v>
      </c>
      <c r="B418">
        <f>IF(ISNUMBER(Capability!B423),Capability!B423,NA())</f>
        <v/>
      </c>
      <c r="C418">
        <f>Capability!$F$5</f>
        <v/>
      </c>
      <c r="D418">
        <f>Capability!$F$5+3*Capability!$F$8</f>
        <v/>
      </c>
      <c r="E418">
        <f>Capability!$F$5-3*Capability!$F$8</f>
        <v/>
      </c>
      <c r="F418">
        <f>IF(ISNUMBER(Capability!C423),Capability!C423,NA())</f>
        <v/>
      </c>
      <c r="G418">
        <f>Capability!$F$7</f>
        <v/>
      </c>
      <c r="H418">
        <f>(1+3*0.8525/1.128379)*Capability!$F$7</f>
        <v/>
      </c>
      <c r="I418">
        <f>IF(ISNUMBER(B418),IF(OR(B418&gt;D418,B418&lt;E418),"OUT",""),"")</f>
        <v/>
      </c>
    </row>
    <row r="419">
      <c r="A419" t="n">
        <v>415</v>
      </c>
      <c r="B419">
        <f>IF(ISNUMBER(Capability!B424),Capability!B424,NA())</f>
        <v/>
      </c>
      <c r="C419">
        <f>Capability!$F$5</f>
        <v/>
      </c>
      <c r="D419">
        <f>Capability!$F$5+3*Capability!$F$8</f>
        <v/>
      </c>
      <c r="E419">
        <f>Capability!$F$5-3*Capability!$F$8</f>
        <v/>
      </c>
      <c r="F419">
        <f>IF(ISNUMBER(Capability!C424),Capability!C424,NA())</f>
        <v/>
      </c>
      <c r="G419">
        <f>Capability!$F$7</f>
        <v/>
      </c>
      <c r="H419">
        <f>(1+3*0.8525/1.128379)*Capability!$F$7</f>
        <v/>
      </c>
      <c r="I419">
        <f>IF(ISNUMBER(B419),IF(OR(B419&gt;D419,B419&lt;E419),"OUT",""),"")</f>
        <v/>
      </c>
    </row>
    <row r="420">
      <c r="A420" t="n">
        <v>416</v>
      </c>
      <c r="B420">
        <f>IF(ISNUMBER(Capability!B425),Capability!B425,NA())</f>
        <v/>
      </c>
      <c r="C420">
        <f>Capability!$F$5</f>
        <v/>
      </c>
      <c r="D420">
        <f>Capability!$F$5+3*Capability!$F$8</f>
        <v/>
      </c>
      <c r="E420">
        <f>Capability!$F$5-3*Capability!$F$8</f>
        <v/>
      </c>
      <c r="F420">
        <f>IF(ISNUMBER(Capability!C425),Capability!C425,NA())</f>
        <v/>
      </c>
      <c r="G420">
        <f>Capability!$F$7</f>
        <v/>
      </c>
      <c r="H420">
        <f>(1+3*0.8525/1.128379)*Capability!$F$7</f>
        <v/>
      </c>
      <c r="I420">
        <f>IF(ISNUMBER(B420),IF(OR(B420&gt;D420,B420&lt;E420),"OUT",""),"")</f>
        <v/>
      </c>
    </row>
    <row r="421">
      <c r="A421" t="n">
        <v>417</v>
      </c>
      <c r="B421">
        <f>IF(ISNUMBER(Capability!B426),Capability!B426,NA())</f>
        <v/>
      </c>
      <c r="C421">
        <f>Capability!$F$5</f>
        <v/>
      </c>
      <c r="D421">
        <f>Capability!$F$5+3*Capability!$F$8</f>
        <v/>
      </c>
      <c r="E421">
        <f>Capability!$F$5-3*Capability!$F$8</f>
        <v/>
      </c>
      <c r="F421">
        <f>IF(ISNUMBER(Capability!C426),Capability!C426,NA())</f>
        <v/>
      </c>
      <c r="G421">
        <f>Capability!$F$7</f>
        <v/>
      </c>
      <c r="H421">
        <f>(1+3*0.8525/1.128379)*Capability!$F$7</f>
        <v/>
      </c>
      <c r="I421">
        <f>IF(ISNUMBER(B421),IF(OR(B421&gt;D421,B421&lt;E421),"OUT",""),"")</f>
        <v/>
      </c>
    </row>
    <row r="422">
      <c r="A422" t="n">
        <v>418</v>
      </c>
      <c r="B422">
        <f>IF(ISNUMBER(Capability!B427),Capability!B427,NA())</f>
        <v/>
      </c>
      <c r="C422">
        <f>Capability!$F$5</f>
        <v/>
      </c>
      <c r="D422">
        <f>Capability!$F$5+3*Capability!$F$8</f>
        <v/>
      </c>
      <c r="E422">
        <f>Capability!$F$5-3*Capability!$F$8</f>
        <v/>
      </c>
      <c r="F422">
        <f>IF(ISNUMBER(Capability!C427),Capability!C427,NA())</f>
        <v/>
      </c>
      <c r="G422">
        <f>Capability!$F$7</f>
        <v/>
      </c>
      <c r="H422">
        <f>(1+3*0.8525/1.128379)*Capability!$F$7</f>
        <v/>
      </c>
      <c r="I422">
        <f>IF(ISNUMBER(B422),IF(OR(B422&gt;D422,B422&lt;E422),"OUT",""),"")</f>
        <v/>
      </c>
    </row>
    <row r="423">
      <c r="A423" t="n">
        <v>419</v>
      </c>
      <c r="B423">
        <f>IF(ISNUMBER(Capability!B428),Capability!B428,NA())</f>
        <v/>
      </c>
      <c r="C423">
        <f>Capability!$F$5</f>
        <v/>
      </c>
      <c r="D423">
        <f>Capability!$F$5+3*Capability!$F$8</f>
        <v/>
      </c>
      <c r="E423">
        <f>Capability!$F$5-3*Capability!$F$8</f>
        <v/>
      </c>
      <c r="F423">
        <f>IF(ISNUMBER(Capability!C428),Capability!C428,NA())</f>
        <v/>
      </c>
      <c r="G423">
        <f>Capability!$F$7</f>
        <v/>
      </c>
      <c r="H423">
        <f>(1+3*0.8525/1.128379)*Capability!$F$7</f>
        <v/>
      </c>
      <c r="I423">
        <f>IF(ISNUMBER(B423),IF(OR(B423&gt;D423,B423&lt;E423),"OUT",""),"")</f>
        <v/>
      </c>
    </row>
    <row r="424">
      <c r="A424" t="n">
        <v>420</v>
      </c>
      <c r="B424">
        <f>IF(ISNUMBER(Capability!B429),Capability!B429,NA())</f>
        <v/>
      </c>
      <c r="C424">
        <f>Capability!$F$5</f>
        <v/>
      </c>
      <c r="D424">
        <f>Capability!$F$5+3*Capability!$F$8</f>
        <v/>
      </c>
      <c r="E424">
        <f>Capability!$F$5-3*Capability!$F$8</f>
        <v/>
      </c>
      <c r="F424">
        <f>IF(ISNUMBER(Capability!C429),Capability!C429,NA())</f>
        <v/>
      </c>
      <c r="G424">
        <f>Capability!$F$7</f>
        <v/>
      </c>
      <c r="H424">
        <f>(1+3*0.8525/1.128379)*Capability!$F$7</f>
        <v/>
      </c>
      <c r="I424">
        <f>IF(ISNUMBER(B424),IF(OR(B424&gt;D424,B424&lt;E424),"OUT",""),"")</f>
        <v/>
      </c>
    </row>
    <row r="425">
      <c r="A425" t="n">
        <v>421</v>
      </c>
      <c r="B425">
        <f>IF(ISNUMBER(Capability!B430),Capability!B430,NA())</f>
        <v/>
      </c>
      <c r="C425">
        <f>Capability!$F$5</f>
        <v/>
      </c>
      <c r="D425">
        <f>Capability!$F$5+3*Capability!$F$8</f>
        <v/>
      </c>
      <c r="E425">
        <f>Capability!$F$5-3*Capability!$F$8</f>
        <v/>
      </c>
      <c r="F425">
        <f>IF(ISNUMBER(Capability!C430),Capability!C430,NA())</f>
        <v/>
      </c>
      <c r="G425">
        <f>Capability!$F$7</f>
        <v/>
      </c>
      <c r="H425">
        <f>(1+3*0.8525/1.128379)*Capability!$F$7</f>
        <v/>
      </c>
      <c r="I425">
        <f>IF(ISNUMBER(B425),IF(OR(B425&gt;D425,B425&lt;E425),"OUT",""),"")</f>
        <v/>
      </c>
    </row>
    <row r="426">
      <c r="A426" t="n">
        <v>422</v>
      </c>
      <c r="B426">
        <f>IF(ISNUMBER(Capability!B431),Capability!B431,NA())</f>
        <v/>
      </c>
      <c r="C426">
        <f>Capability!$F$5</f>
        <v/>
      </c>
      <c r="D426">
        <f>Capability!$F$5+3*Capability!$F$8</f>
        <v/>
      </c>
      <c r="E426">
        <f>Capability!$F$5-3*Capability!$F$8</f>
        <v/>
      </c>
      <c r="F426">
        <f>IF(ISNUMBER(Capability!C431),Capability!C431,NA())</f>
        <v/>
      </c>
      <c r="G426">
        <f>Capability!$F$7</f>
        <v/>
      </c>
      <c r="H426">
        <f>(1+3*0.8525/1.128379)*Capability!$F$7</f>
        <v/>
      </c>
      <c r="I426">
        <f>IF(ISNUMBER(B426),IF(OR(B426&gt;D426,B426&lt;E426),"OUT",""),"")</f>
        <v/>
      </c>
    </row>
    <row r="427">
      <c r="A427" t="n">
        <v>423</v>
      </c>
      <c r="B427">
        <f>IF(ISNUMBER(Capability!B432),Capability!B432,NA())</f>
        <v/>
      </c>
      <c r="C427">
        <f>Capability!$F$5</f>
        <v/>
      </c>
      <c r="D427">
        <f>Capability!$F$5+3*Capability!$F$8</f>
        <v/>
      </c>
      <c r="E427">
        <f>Capability!$F$5-3*Capability!$F$8</f>
        <v/>
      </c>
      <c r="F427">
        <f>IF(ISNUMBER(Capability!C432),Capability!C432,NA())</f>
        <v/>
      </c>
      <c r="G427">
        <f>Capability!$F$7</f>
        <v/>
      </c>
      <c r="H427">
        <f>(1+3*0.8525/1.128379)*Capability!$F$7</f>
        <v/>
      </c>
      <c r="I427">
        <f>IF(ISNUMBER(B427),IF(OR(B427&gt;D427,B427&lt;E427),"OUT",""),"")</f>
        <v/>
      </c>
    </row>
    <row r="428">
      <c r="A428" t="n">
        <v>424</v>
      </c>
      <c r="B428">
        <f>IF(ISNUMBER(Capability!B433),Capability!B433,NA())</f>
        <v/>
      </c>
      <c r="C428">
        <f>Capability!$F$5</f>
        <v/>
      </c>
      <c r="D428">
        <f>Capability!$F$5+3*Capability!$F$8</f>
        <v/>
      </c>
      <c r="E428">
        <f>Capability!$F$5-3*Capability!$F$8</f>
        <v/>
      </c>
      <c r="F428">
        <f>IF(ISNUMBER(Capability!C433),Capability!C433,NA())</f>
        <v/>
      </c>
      <c r="G428">
        <f>Capability!$F$7</f>
        <v/>
      </c>
      <c r="H428">
        <f>(1+3*0.8525/1.128379)*Capability!$F$7</f>
        <v/>
      </c>
      <c r="I428">
        <f>IF(ISNUMBER(B428),IF(OR(B428&gt;D428,B428&lt;E428),"OUT",""),"")</f>
        <v/>
      </c>
    </row>
    <row r="429">
      <c r="A429" t="n">
        <v>425</v>
      </c>
      <c r="B429">
        <f>IF(ISNUMBER(Capability!B434),Capability!B434,NA())</f>
        <v/>
      </c>
      <c r="C429">
        <f>Capability!$F$5</f>
        <v/>
      </c>
      <c r="D429">
        <f>Capability!$F$5+3*Capability!$F$8</f>
        <v/>
      </c>
      <c r="E429">
        <f>Capability!$F$5-3*Capability!$F$8</f>
        <v/>
      </c>
      <c r="F429">
        <f>IF(ISNUMBER(Capability!C434),Capability!C434,NA())</f>
        <v/>
      </c>
      <c r="G429">
        <f>Capability!$F$7</f>
        <v/>
      </c>
      <c r="H429">
        <f>(1+3*0.8525/1.128379)*Capability!$F$7</f>
        <v/>
      </c>
      <c r="I429">
        <f>IF(ISNUMBER(B429),IF(OR(B429&gt;D429,B429&lt;E429),"OUT",""),"")</f>
        <v/>
      </c>
    </row>
    <row r="430">
      <c r="A430" t="n">
        <v>426</v>
      </c>
      <c r="B430">
        <f>IF(ISNUMBER(Capability!B435),Capability!B435,NA())</f>
        <v/>
      </c>
      <c r="C430">
        <f>Capability!$F$5</f>
        <v/>
      </c>
      <c r="D430">
        <f>Capability!$F$5+3*Capability!$F$8</f>
        <v/>
      </c>
      <c r="E430">
        <f>Capability!$F$5-3*Capability!$F$8</f>
        <v/>
      </c>
      <c r="F430">
        <f>IF(ISNUMBER(Capability!C435),Capability!C435,NA())</f>
        <v/>
      </c>
      <c r="G430">
        <f>Capability!$F$7</f>
        <v/>
      </c>
      <c r="H430">
        <f>(1+3*0.8525/1.128379)*Capability!$F$7</f>
        <v/>
      </c>
      <c r="I430">
        <f>IF(ISNUMBER(B430),IF(OR(B430&gt;D430,B430&lt;E430),"OUT",""),"")</f>
        <v/>
      </c>
    </row>
    <row r="431">
      <c r="A431" t="n">
        <v>427</v>
      </c>
      <c r="B431">
        <f>IF(ISNUMBER(Capability!B436),Capability!B436,NA())</f>
        <v/>
      </c>
      <c r="C431">
        <f>Capability!$F$5</f>
        <v/>
      </c>
      <c r="D431">
        <f>Capability!$F$5+3*Capability!$F$8</f>
        <v/>
      </c>
      <c r="E431">
        <f>Capability!$F$5-3*Capability!$F$8</f>
        <v/>
      </c>
      <c r="F431">
        <f>IF(ISNUMBER(Capability!C436),Capability!C436,NA())</f>
        <v/>
      </c>
      <c r="G431">
        <f>Capability!$F$7</f>
        <v/>
      </c>
      <c r="H431">
        <f>(1+3*0.8525/1.128379)*Capability!$F$7</f>
        <v/>
      </c>
      <c r="I431">
        <f>IF(ISNUMBER(B431),IF(OR(B431&gt;D431,B431&lt;E431),"OUT",""),"")</f>
        <v/>
      </c>
    </row>
    <row r="432">
      <c r="A432" t="n">
        <v>428</v>
      </c>
      <c r="B432">
        <f>IF(ISNUMBER(Capability!B437),Capability!B437,NA())</f>
        <v/>
      </c>
      <c r="C432">
        <f>Capability!$F$5</f>
        <v/>
      </c>
      <c r="D432">
        <f>Capability!$F$5+3*Capability!$F$8</f>
        <v/>
      </c>
      <c r="E432">
        <f>Capability!$F$5-3*Capability!$F$8</f>
        <v/>
      </c>
      <c r="F432">
        <f>IF(ISNUMBER(Capability!C437),Capability!C437,NA())</f>
        <v/>
      </c>
      <c r="G432">
        <f>Capability!$F$7</f>
        <v/>
      </c>
      <c r="H432">
        <f>(1+3*0.8525/1.128379)*Capability!$F$7</f>
        <v/>
      </c>
      <c r="I432">
        <f>IF(ISNUMBER(B432),IF(OR(B432&gt;D432,B432&lt;E432),"OUT",""),"")</f>
        <v/>
      </c>
    </row>
    <row r="433">
      <c r="A433" t="n">
        <v>429</v>
      </c>
      <c r="B433">
        <f>IF(ISNUMBER(Capability!B438),Capability!B438,NA())</f>
        <v/>
      </c>
      <c r="C433">
        <f>Capability!$F$5</f>
        <v/>
      </c>
      <c r="D433">
        <f>Capability!$F$5+3*Capability!$F$8</f>
        <v/>
      </c>
      <c r="E433">
        <f>Capability!$F$5-3*Capability!$F$8</f>
        <v/>
      </c>
      <c r="F433">
        <f>IF(ISNUMBER(Capability!C438),Capability!C438,NA())</f>
        <v/>
      </c>
      <c r="G433">
        <f>Capability!$F$7</f>
        <v/>
      </c>
      <c r="H433">
        <f>(1+3*0.8525/1.128379)*Capability!$F$7</f>
        <v/>
      </c>
      <c r="I433">
        <f>IF(ISNUMBER(B433),IF(OR(B433&gt;D433,B433&lt;E433),"OUT",""),"")</f>
        <v/>
      </c>
    </row>
    <row r="434">
      <c r="A434" t="n">
        <v>430</v>
      </c>
      <c r="B434">
        <f>IF(ISNUMBER(Capability!B439),Capability!B439,NA())</f>
        <v/>
      </c>
      <c r="C434">
        <f>Capability!$F$5</f>
        <v/>
      </c>
      <c r="D434">
        <f>Capability!$F$5+3*Capability!$F$8</f>
        <v/>
      </c>
      <c r="E434">
        <f>Capability!$F$5-3*Capability!$F$8</f>
        <v/>
      </c>
      <c r="F434">
        <f>IF(ISNUMBER(Capability!C439),Capability!C439,NA())</f>
        <v/>
      </c>
      <c r="G434">
        <f>Capability!$F$7</f>
        <v/>
      </c>
      <c r="H434">
        <f>(1+3*0.8525/1.128379)*Capability!$F$7</f>
        <v/>
      </c>
      <c r="I434">
        <f>IF(ISNUMBER(B434),IF(OR(B434&gt;D434,B434&lt;E434),"OUT",""),"")</f>
        <v/>
      </c>
    </row>
    <row r="435">
      <c r="A435" t="n">
        <v>431</v>
      </c>
      <c r="B435">
        <f>IF(ISNUMBER(Capability!B440),Capability!B440,NA())</f>
        <v/>
      </c>
      <c r="C435">
        <f>Capability!$F$5</f>
        <v/>
      </c>
      <c r="D435">
        <f>Capability!$F$5+3*Capability!$F$8</f>
        <v/>
      </c>
      <c r="E435">
        <f>Capability!$F$5-3*Capability!$F$8</f>
        <v/>
      </c>
      <c r="F435">
        <f>IF(ISNUMBER(Capability!C440),Capability!C440,NA())</f>
        <v/>
      </c>
      <c r="G435">
        <f>Capability!$F$7</f>
        <v/>
      </c>
      <c r="H435">
        <f>(1+3*0.8525/1.128379)*Capability!$F$7</f>
        <v/>
      </c>
      <c r="I435">
        <f>IF(ISNUMBER(B435),IF(OR(B435&gt;D435,B435&lt;E435),"OUT",""),"")</f>
        <v/>
      </c>
    </row>
    <row r="436">
      <c r="A436" t="n">
        <v>432</v>
      </c>
      <c r="B436">
        <f>IF(ISNUMBER(Capability!B441),Capability!B441,NA())</f>
        <v/>
      </c>
      <c r="C436">
        <f>Capability!$F$5</f>
        <v/>
      </c>
      <c r="D436">
        <f>Capability!$F$5+3*Capability!$F$8</f>
        <v/>
      </c>
      <c r="E436">
        <f>Capability!$F$5-3*Capability!$F$8</f>
        <v/>
      </c>
      <c r="F436">
        <f>IF(ISNUMBER(Capability!C441),Capability!C441,NA())</f>
        <v/>
      </c>
      <c r="G436">
        <f>Capability!$F$7</f>
        <v/>
      </c>
      <c r="H436">
        <f>(1+3*0.8525/1.128379)*Capability!$F$7</f>
        <v/>
      </c>
      <c r="I436">
        <f>IF(ISNUMBER(B436),IF(OR(B436&gt;D436,B436&lt;E436),"OUT",""),"")</f>
        <v/>
      </c>
    </row>
    <row r="437">
      <c r="A437" t="n">
        <v>433</v>
      </c>
      <c r="B437">
        <f>IF(ISNUMBER(Capability!B442),Capability!B442,NA())</f>
        <v/>
      </c>
      <c r="C437">
        <f>Capability!$F$5</f>
        <v/>
      </c>
      <c r="D437">
        <f>Capability!$F$5+3*Capability!$F$8</f>
        <v/>
      </c>
      <c r="E437">
        <f>Capability!$F$5-3*Capability!$F$8</f>
        <v/>
      </c>
      <c r="F437">
        <f>IF(ISNUMBER(Capability!C442),Capability!C442,NA())</f>
        <v/>
      </c>
      <c r="G437">
        <f>Capability!$F$7</f>
        <v/>
      </c>
      <c r="H437">
        <f>(1+3*0.8525/1.128379)*Capability!$F$7</f>
        <v/>
      </c>
      <c r="I437">
        <f>IF(ISNUMBER(B437),IF(OR(B437&gt;D437,B437&lt;E437),"OUT",""),"")</f>
        <v/>
      </c>
    </row>
    <row r="438">
      <c r="A438" t="n">
        <v>434</v>
      </c>
      <c r="B438">
        <f>IF(ISNUMBER(Capability!B443),Capability!B443,NA())</f>
        <v/>
      </c>
      <c r="C438">
        <f>Capability!$F$5</f>
        <v/>
      </c>
      <c r="D438">
        <f>Capability!$F$5+3*Capability!$F$8</f>
        <v/>
      </c>
      <c r="E438">
        <f>Capability!$F$5-3*Capability!$F$8</f>
        <v/>
      </c>
      <c r="F438">
        <f>IF(ISNUMBER(Capability!C443),Capability!C443,NA())</f>
        <v/>
      </c>
      <c r="G438">
        <f>Capability!$F$7</f>
        <v/>
      </c>
      <c r="H438">
        <f>(1+3*0.8525/1.128379)*Capability!$F$7</f>
        <v/>
      </c>
      <c r="I438">
        <f>IF(ISNUMBER(B438),IF(OR(B438&gt;D438,B438&lt;E438),"OUT",""),"")</f>
        <v/>
      </c>
    </row>
    <row r="439">
      <c r="A439" t="n">
        <v>435</v>
      </c>
      <c r="B439">
        <f>IF(ISNUMBER(Capability!B444),Capability!B444,NA())</f>
        <v/>
      </c>
      <c r="C439">
        <f>Capability!$F$5</f>
        <v/>
      </c>
      <c r="D439">
        <f>Capability!$F$5+3*Capability!$F$8</f>
        <v/>
      </c>
      <c r="E439">
        <f>Capability!$F$5-3*Capability!$F$8</f>
        <v/>
      </c>
      <c r="F439">
        <f>IF(ISNUMBER(Capability!C444),Capability!C444,NA())</f>
        <v/>
      </c>
      <c r="G439">
        <f>Capability!$F$7</f>
        <v/>
      </c>
      <c r="H439">
        <f>(1+3*0.8525/1.128379)*Capability!$F$7</f>
        <v/>
      </c>
      <c r="I439">
        <f>IF(ISNUMBER(B439),IF(OR(B439&gt;D439,B439&lt;E439),"OUT",""),"")</f>
        <v/>
      </c>
    </row>
    <row r="440">
      <c r="A440" t="n">
        <v>436</v>
      </c>
      <c r="B440">
        <f>IF(ISNUMBER(Capability!B445),Capability!B445,NA())</f>
        <v/>
      </c>
      <c r="C440">
        <f>Capability!$F$5</f>
        <v/>
      </c>
      <c r="D440">
        <f>Capability!$F$5+3*Capability!$F$8</f>
        <v/>
      </c>
      <c r="E440">
        <f>Capability!$F$5-3*Capability!$F$8</f>
        <v/>
      </c>
      <c r="F440">
        <f>IF(ISNUMBER(Capability!C445),Capability!C445,NA())</f>
        <v/>
      </c>
      <c r="G440">
        <f>Capability!$F$7</f>
        <v/>
      </c>
      <c r="H440">
        <f>(1+3*0.8525/1.128379)*Capability!$F$7</f>
        <v/>
      </c>
      <c r="I440">
        <f>IF(ISNUMBER(B440),IF(OR(B440&gt;D440,B440&lt;E440),"OUT",""),"")</f>
        <v/>
      </c>
    </row>
    <row r="441">
      <c r="A441" t="n">
        <v>437</v>
      </c>
      <c r="B441">
        <f>IF(ISNUMBER(Capability!B446),Capability!B446,NA())</f>
        <v/>
      </c>
      <c r="C441">
        <f>Capability!$F$5</f>
        <v/>
      </c>
      <c r="D441">
        <f>Capability!$F$5+3*Capability!$F$8</f>
        <v/>
      </c>
      <c r="E441">
        <f>Capability!$F$5-3*Capability!$F$8</f>
        <v/>
      </c>
      <c r="F441">
        <f>IF(ISNUMBER(Capability!C446),Capability!C446,NA())</f>
        <v/>
      </c>
      <c r="G441">
        <f>Capability!$F$7</f>
        <v/>
      </c>
      <c r="H441">
        <f>(1+3*0.8525/1.128379)*Capability!$F$7</f>
        <v/>
      </c>
      <c r="I441">
        <f>IF(ISNUMBER(B441),IF(OR(B441&gt;D441,B441&lt;E441),"OUT",""),"")</f>
        <v/>
      </c>
    </row>
    <row r="442">
      <c r="A442" t="n">
        <v>438</v>
      </c>
      <c r="B442">
        <f>IF(ISNUMBER(Capability!B447),Capability!B447,NA())</f>
        <v/>
      </c>
      <c r="C442">
        <f>Capability!$F$5</f>
        <v/>
      </c>
      <c r="D442">
        <f>Capability!$F$5+3*Capability!$F$8</f>
        <v/>
      </c>
      <c r="E442">
        <f>Capability!$F$5-3*Capability!$F$8</f>
        <v/>
      </c>
      <c r="F442">
        <f>IF(ISNUMBER(Capability!C447),Capability!C447,NA())</f>
        <v/>
      </c>
      <c r="G442">
        <f>Capability!$F$7</f>
        <v/>
      </c>
      <c r="H442">
        <f>(1+3*0.8525/1.128379)*Capability!$F$7</f>
        <v/>
      </c>
      <c r="I442">
        <f>IF(ISNUMBER(B442),IF(OR(B442&gt;D442,B442&lt;E442),"OUT",""),"")</f>
        <v/>
      </c>
    </row>
    <row r="443">
      <c r="A443" t="n">
        <v>439</v>
      </c>
      <c r="B443">
        <f>IF(ISNUMBER(Capability!B448),Capability!B448,NA())</f>
        <v/>
      </c>
      <c r="C443">
        <f>Capability!$F$5</f>
        <v/>
      </c>
      <c r="D443">
        <f>Capability!$F$5+3*Capability!$F$8</f>
        <v/>
      </c>
      <c r="E443">
        <f>Capability!$F$5-3*Capability!$F$8</f>
        <v/>
      </c>
      <c r="F443">
        <f>IF(ISNUMBER(Capability!C448),Capability!C448,NA())</f>
        <v/>
      </c>
      <c r="G443">
        <f>Capability!$F$7</f>
        <v/>
      </c>
      <c r="H443">
        <f>(1+3*0.8525/1.128379)*Capability!$F$7</f>
        <v/>
      </c>
      <c r="I443">
        <f>IF(ISNUMBER(B443),IF(OR(B443&gt;D443,B443&lt;E443),"OUT",""),"")</f>
        <v/>
      </c>
    </row>
    <row r="444">
      <c r="A444" t="n">
        <v>440</v>
      </c>
      <c r="B444">
        <f>IF(ISNUMBER(Capability!B449),Capability!B449,NA())</f>
        <v/>
      </c>
      <c r="C444">
        <f>Capability!$F$5</f>
        <v/>
      </c>
      <c r="D444">
        <f>Capability!$F$5+3*Capability!$F$8</f>
        <v/>
      </c>
      <c r="E444">
        <f>Capability!$F$5-3*Capability!$F$8</f>
        <v/>
      </c>
      <c r="F444">
        <f>IF(ISNUMBER(Capability!C449),Capability!C449,NA())</f>
        <v/>
      </c>
      <c r="G444">
        <f>Capability!$F$7</f>
        <v/>
      </c>
      <c r="H444">
        <f>(1+3*0.8525/1.128379)*Capability!$F$7</f>
        <v/>
      </c>
      <c r="I444">
        <f>IF(ISNUMBER(B444),IF(OR(B444&gt;D444,B444&lt;E444),"OUT",""),"")</f>
        <v/>
      </c>
    </row>
    <row r="445">
      <c r="A445" t="n">
        <v>441</v>
      </c>
      <c r="B445">
        <f>IF(ISNUMBER(Capability!B450),Capability!B450,NA())</f>
        <v/>
      </c>
      <c r="C445">
        <f>Capability!$F$5</f>
        <v/>
      </c>
      <c r="D445">
        <f>Capability!$F$5+3*Capability!$F$8</f>
        <v/>
      </c>
      <c r="E445">
        <f>Capability!$F$5-3*Capability!$F$8</f>
        <v/>
      </c>
      <c r="F445">
        <f>IF(ISNUMBER(Capability!C450),Capability!C450,NA())</f>
        <v/>
      </c>
      <c r="G445">
        <f>Capability!$F$7</f>
        <v/>
      </c>
      <c r="H445">
        <f>(1+3*0.8525/1.128379)*Capability!$F$7</f>
        <v/>
      </c>
      <c r="I445">
        <f>IF(ISNUMBER(B445),IF(OR(B445&gt;D445,B445&lt;E445),"OUT",""),"")</f>
        <v/>
      </c>
    </row>
    <row r="446">
      <c r="A446" t="n">
        <v>442</v>
      </c>
      <c r="B446">
        <f>IF(ISNUMBER(Capability!B451),Capability!B451,NA())</f>
        <v/>
      </c>
      <c r="C446">
        <f>Capability!$F$5</f>
        <v/>
      </c>
      <c r="D446">
        <f>Capability!$F$5+3*Capability!$F$8</f>
        <v/>
      </c>
      <c r="E446">
        <f>Capability!$F$5-3*Capability!$F$8</f>
        <v/>
      </c>
      <c r="F446">
        <f>IF(ISNUMBER(Capability!C451),Capability!C451,NA())</f>
        <v/>
      </c>
      <c r="G446">
        <f>Capability!$F$7</f>
        <v/>
      </c>
      <c r="H446">
        <f>(1+3*0.8525/1.128379)*Capability!$F$7</f>
        <v/>
      </c>
      <c r="I446">
        <f>IF(ISNUMBER(B446),IF(OR(B446&gt;D446,B446&lt;E446),"OUT",""),"")</f>
        <v/>
      </c>
    </row>
    <row r="447">
      <c r="A447" t="n">
        <v>443</v>
      </c>
      <c r="B447">
        <f>IF(ISNUMBER(Capability!B452),Capability!B452,NA())</f>
        <v/>
      </c>
      <c r="C447">
        <f>Capability!$F$5</f>
        <v/>
      </c>
      <c r="D447">
        <f>Capability!$F$5+3*Capability!$F$8</f>
        <v/>
      </c>
      <c r="E447">
        <f>Capability!$F$5-3*Capability!$F$8</f>
        <v/>
      </c>
      <c r="F447">
        <f>IF(ISNUMBER(Capability!C452),Capability!C452,NA())</f>
        <v/>
      </c>
      <c r="G447">
        <f>Capability!$F$7</f>
        <v/>
      </c>
      <c r="H447">
        <f>(1+3*0.8525/1.128379)*Capability!$F$7</f>
        <v/>
      </c>
      <c r="I447">
        <f>IF(ISNUMBER(B447),IF(OR(B447&gt;D447,B447&lt;E447),"OUT",""),"")</f>
        <v/>
      </c>
    </row>
    <row r="448">
      <c r="A448" t="n">
        <v>444</v>
      </c>
      <c r="B448">
        <f>IF(ISNUMBER(Capability!B453),Capability!B453,NA())</f>
        <v/>
      </c>
      <c r="C448">
        <f>Capability!$F$5</f>
        <v/>
      </c>
      <c r="D448">
        <f>Capability!$F$5+3*Capability!$F$8</f>
        <v/>
      </c>
      <c r="E448">
        <f>Capability!$F$5-3*Capability!$F$8</f>
        <v/>
      </c>
      <c r="F448">
        <f>IF(ISNUMBER(Capability!C453),Capability!C453,NA())</f>
        <v/>
      </c>
      <c r="G448">
        <f>Capability!$F$7</f>
        <v/>
      </c>
      <c r="H448">
        <f>(1+3*0.8525/1.128379)*Capability!$F$7</f>
        <v/>
      </c>
      <c r="I448">
        <f>IF(ISNUMBER(B448),IF(OR(B448&gt;D448,B448&lt;E448),"OUT",""),"")</f>
        <v/>
      </c>
    </row>
    <row r="449">
      <c r="A449" t="n">
        <v>445</v>
      </c>
      <c r="B449">
        <f>IF(ISNUMBER(Capability!B454),Capability!B454,NA())</f>
        <v/>
      </c>
      <c r="C449">
        <f>Capability!$F$5</f>
        <v/>
      </c>
      <c r="D449">
        <f>Capability!$F$5+3*Capability!$F$8</f>
        <v/>
      </c>
      <c r="E449">
        <f>Capability!$F$5-3*Capability!$F$8</f>
        <v/>
      </c>
      <c r="F449">
        <f>IF(ISNUMBER(Capability!C454),Capability!C454,NA())</f>
        <v/>
      </c>
      <c r="G449">
        <f>Capability!$F$7</f>
        <v/>
      </c>
      <c r="H449">
        <f>(1+3*0.8525/1.128379)*Capability!$F$7</f>
        <v/>
      </c>
      <c r="I449">
        <f>IF(ISNUMBER(B449),IF(OR(B449&gt;D449,B449&lt;E449),"OUT",""),"")</f>
        <v/>
      </c>
    </row>
    <row r="450">
      <c r="A450" t="n">
        <v>446</v>
      </c>
      <c r="B450">
        <f>IF(ISNUMBER(Capability!B455),Capability!B455,NA())</f>
        <v/>
      </c>
      <c r="C450">
        <f>Capability!$F$5</f>
        <v/>
      </c>
      <c r="D450">
        <f>Capability!$F$5+3*Capability!$F$8</f>
        <v/>
      </c>
      <c r="E450">
        <f>Capability!$F$5-3*Capability!$F$8</f>
        <v/>
      </c>
      <c r="F450">
        <f>IF(ISNUMBER(Capability!C455),Capability!C455,NA())</f>
        <v/>
      </c>
      <c r="G450">
        <f>Capability!$F$7</f>
        <v/>
      </c>
      <c r="H450">
        <f>(1+3*0.8525/1.128379)*Capability!$F$7</f>
        <v/>
      </c>
      <c r="I450">
        <f>IF(ISNUMBER(B450),IF(OR(B450&gt;D450,B450&lt;E450),"OUT",""),"")</f>
        <v/>
      </c>
    </row>
    <row r="451">
      <c r="A451" t="n">
        <v>447</v>
      </c>
      <c r="B451">
        <f>IF(ISNUMBER(Capability!B456),Capability!B456,NA())</f>
        <v/>
      </c>
      <c r="C451">
        <f>Capability!$F$5</f>
        <v/>
      </c>
      <c r="D451">
        <f>Capability!$F$5+3*Capability!$F$8</f>
        <v/>
      </c>
      <c r="E451">
        <f>Capability!$F$5-3*Capability!$F$8</f>
        <v/>
      </c>
      <c r="F451">
        <f>IF(ISNUMBER(Capability!C456),Capability!C456,NA())</f>
        <v/>
      </c>
      <c r="G451">
        <f>Capability!$F$7</f>
        <v/>
      </c>
      <c r="H451">
        <f>(1+3*0.8525/1.128379)*Capability!$F$7</f>
        <v/>
      </c>
      <c r="I451">
        <f>IF(ISNUMBER(B451),IF(OR(B451&gt;D451,B451&lt;E451),"OUT",""),"")</f>
        <v/>
      </c>
    </row>
    <row r="452">
      <c r="A452" t="n">
        <v>448</v>
      </c>
      <c r="B452">
        <f>IF(ISNUMBER(Capability!B457),Capability!B457,NA())</f>
        <v/>
      </c>
      <c r="C452">
        <f>Capability!$F$5</f>
        <v/>
      </c>
      <c r="D452">
        <f>Capability!$F$5+3*Capability!$F$8</f>
        <v/>
      </c>
      <c r="E452">
        <f>Capability!$F$5-3*Capability!$F$8</f>
        <v/>
      </c>
      <c r="F452">
        <f>IF(ISNUMBER(Capability!C457),Capability!C457,NA())</f>
        <v/>
      </c>
      <c r="G452">
        <f>Capability!$F$7</f>
        <v/>
      </c>
      <c r="H452">
        <f>(1+3*0.8525/1.128379)*Capability!$F$7</f>
        <v/>
      </c>
      <c r="I452">
        <f>IF(ISNUMBER(B452),IF(OR(B452&gt;D452,B452&lt;E452),"OUT",""),"")</f>
        <v/>
      </c>
    </row>
    <row r="453">
      <c r="A453" t="n">
        <v>449</v>
      </c>
      <c r="B453">
        <f>IF(ISNUMBER(Capability!B458),Capability!B458,NA())</f>
        <v/>
      </c>
      <c r="C453">
        <f>Capability!$F$5</f>
        <v/>
      </c>
      <c r="D453">
        <f>Capability!$F$5+3*Capability!$F$8</f>
        <v/>
      </c>
      <c r="E453">
        <f>Capability!$F$5-3*Capability!$F$8</f>
        <v/>
      </c>
      <c r="F453">
        <f>IF(ISNUMBER(Capability!C458),Capability!C458,NA())</f>
        <v/>
      </c>
      <c r="G453">
        <f>Capability!$F$7</f>
        <v/>
      </c>
      <c r="H453">
        <f>(1+3*0.8525/1.128379)*Capability!$F$7</f>
        <v/>
      </c>
      <c r="I453">
        <f>IF(ISNUMBER(B453),IF(OR(B453&gt;D453,B453&lt;E453),"OUT",""),"")</f>
        <v/>
      </c>
    </row>
    <row r="454">
      <c r="A454" t="n">
        <v>450</v>
      </c>
      <c r="B454">
        <f>IF(ISNUMBER(Capability!B459),Capability!B459,NA())</f>
        <v/>
      </c>
      <c r="C454">
        <f>Capability!$F$5</f>
        <v/>
      </c>
      <c r="D454">
        <f>Capability!$F$5+3*Capability!$F$8</f>
        <v/>
      </c>
      <c r="E454">
        <f>Capability!$F$5-3*Capability!$F$8</f>
        <v/>
      </c>
      <c r="F454">
        <f>IF(ISNUMBER(Capability!C459),Capability!C459,NA())</f>
        <v/>
      </c>
      <c r="G454">
        <f>Capability!$F$7</f>
        <v/>
      </c>
      <c r="H454">
        <f>(1+3*0.8525/1.128379)*Capability!$F$7</f>
        <v/>
      </c>
      <c r="I454">
        <f>IF(ISNUMBER(B454),IF(OR(B454&gt;D454,B454&lt;E454),"OUT",""),"")</f>
        <v/>
      </c>
    </row>
    <row r="455">
      <c r="A455" t="n">
        <v>451</v>
      </c>
      <c r="B455">
        <f>IF(ISNUMBER(Capability!B460),Capability!B460,NA())</f>
        <v/>
      </c>
      <c r="C455">
        <f>Capability!$F$5</f>
        <v/>
      </c>
      <c r="D455">
        <f>Capability!$F$5+3*Capability!$F$8</f>
        <v/>
      </c>
      <c r="E455">
        <f>Capability!$F$5-3*Capability!$F$8</f>
        <v/>
      </c>
      <c r="F455">
        <f>IF(ISNUMBER(Capability!C460),Capability!C460,NA())</f>
        <v/>
      </c>
      <c r="G455">
        <f>Capability!$F$7</f>
        <v/>
      </c>
      <c r="H455">
        <f>(1+3*0.8525/1.128379)*Capability!$F$7</f>
        <v/>
      </c>
      <c r="I455">
        <f>IF(ISNUMBER(B455),IF(OR(B455&gt;D455,B455&lt;E455),"OUT",""),"")</f>
        <v/>
      </c>
    </row>
    <row r="456">
      <c r="A456" t="n">
        <v>452</v>
      </c>
      <c r="B456">
        <f>IF(ISNUMBER(Capability!B461),Capability!B461,NA())</f>
        <v/>
      </c>
      <c r="C456">
        <f>Capability!$F$5</f>
        <v/>
      </c>
      <c r="D456">
        <f>Capability!$F$5+3*Capability!$F$8</f>
        <v/>
      </c>
      <c r="E456">
        <f>Capability!$F$5-3*Capability!$F$8</f>
        <v/>
      </c>
      <c r="F456">
        <f>IF(ISNUMBER(Capability!C461),Capability!C461,NA())</f>
        <v/>
      </c>
      <c r="G456">
        <f>Capability!$F$7</f>
        <v/>
      </c>
      <c r="H456">
        <f>(1+3*0.8525/1.128379)*Capability!$F$7</f>
        <v/>
      </c>
      <c r="I456">
        <f>IF(ISNUMBER(B456),IF(OR(B456&gt;D456,B456&lt;E456),"OUT",""),"")</f>
        <v/>
      </c>
    </row>
    <row r="457">
      <c r="A457" t="n">
        <v>453</v>
      </c>
      <c r="B457">
        <f>IF(ISNUMBER(Capability!B462),Capability!B462,NA())</f>
        <v/>
      </c>
      <c r="C457">
        <f>Capability!$F$5</f>
        <v/>
      </c>
      <c r="D457">
        <f>Capability!$F$5+3*Capability!$F$8</f>
        <v/>
      </c>
      <c r="E457">
        <f>Capability!$F$5-3*Capability!$F$8</f>
        <v/>
      </c>
      <c r="F457">
        <f>IF(ISNUMBER(Capability!C462),Capability!C462,NA())</f>
        <v/>
      </c>
      <c r="G457">
        <f>Capability!$F$7</f>
        <v/>
      </c>
      <c r="H457">
        <f>(1+3*0.8525/1.128379)*Capability!$F$7</f>
        <v/>
      </c>
      <c r="I457">
        <f>IF(ISNUMBER(B457),IF(OR(B457&gt;D457,B457&lt;E457),"OUT",""),"")</f>
        <v/>
      </c>
    </row>
    <row r="458">
      <c r="A458" t="n">
        <v>454</v>
      </c>
      <c r="B458">
        <f>IF(ISNUMBER(Capability!B463),Capability!B463,NA())</f>
        <v/>
      </c>
      <c r="C458">
        <f>Capability!$F$5</f>
        <v/>
      </c>
      <c r="D458">
        <f>Capability!$F$5+3*Capability!$F$8</f>
        <v/>
      </c>
      <c r="E458">
        <f>Capability!$F$5-3*Capability!$F$8</f>
        <v/>
      </c>
      <c r="F458">
        <f>IF(ISNUMBER(Capability!C463),Capability!C463,NA())</f>
        <v/>
      </c>
      <c r="G458">
        <f>Capability!$F$7</f>
        <v/>
      </c>
      <c r="H458">
        <f>(1+3*0.8525/1.128379)*Capability!$F$7</f>
        <v/>
      </c>
      <c r="I458">
        <f>IF(ISNUMBER(B458),IF(OR(B458&gt;D458,B458&lt;E458),"OUT",""),"")</f>
        <v/>
      </c>
    </row>
    <row r="459">
      <c r="A459" t="n">
        <v>455</v>
      </c>
      <c r="B459">
        <f>IF(ISNUMBER(Capability!B464),Capability!B464,NA())</f>
        <v/>
      </c>
      <c r="C459">
        <f>Capability!$F$5</f>
        <v/>
      </c>
      <c r="D459">
        <f>Capability!$F$5+3*Capability!$F$8</f>
        <v/>
      </c>
      <c r="E459">
        <f>Capability!$F$5-3*Capability!$F$8</f>
        <v/>
      </c>
      <c r="F459">
        <f>IF(ISNUMBER(Capability!C464),Capability!C464,NA())</f>
        <v/>
      </c>
      <c r="G459">
        <f>Capability!$F$7</f>
        <v/>
      </c>
      <c r="H459">
        <f>(1+3*0.8525/1.128379)*Capability!$F$7</f>
        <v/>
      </c>
      <c r="I459">
        <f>IF(ISNUMBER(B459),IF(OR(B459&gt;D459,B459&lt;E459),"OUT",""),"")</f>
        <v/>
      </c>
    </row>
    <row r="460">
      <c r="A460" t="n">
        <v>456</v>
      </c>
      <c r="B460">
        <f>IF(ISNUMBER(Capability!B465),Capability!B465,NA())</f>
        <v/>
      </c>
      <c r="C460">
        <f>Capability!$F$5</f>
        <v/>
      </c>
      <c r="D460">
        <f>Capability!$F$5+3*Capability!$F$8</f>
        <v/>
      </c>
      <c r="E460">
        <f>Capability!$F$5-3*Capability!$F$8</f>
        <v/>
      </c>
      <c r="F460">
        <f>IF(ISNUMBER(Capability!C465),Capability!C465,NA())</f>
        <v/>
      </c>
      <c r="G460">
        <f>Capability!$F$7</f>
        <v/>
      </c>
      <c r="H460">
        <f>(1+3*0.8525/1.128379)*Capability!$F$7</f>
        <v/>
      </c>
      <c r="I460">
        <f>IF(ISNUMBER(B460),IF(OR(B460&gt;D460,B460&lt;E460),"OUT",""),"")</f>
        <v/>
      </c>
    </row>
    <row r="461">
      <c r="A461" t="n">
        <v>457</v>
      </c>
      <c r="B461">
        <f>IF(ISNUMBER(Capability!B466),Capability!B466,NA())</f>
        <v/>
      </c>
      <c r="C461">
        <f>Capability!$F$5</f>
        <v/>
      </c>
      <c r="D461">
        <f>Capability!$F$5+3*Capability!$F$8</f>
        <v/>
      </c>
      <c r="E461">
        <f>Capability!$F$5-3*Capability!$F$8</f>
        <v/>
      </c>
      <c r="F461">
        <f>IF(ISNUMBER(Capability!C466),Capability!C466,NA())</f>
        <v/>
      </c>
      <c r="G461">
        <f>Capability!$F$7</f>
        <v/>
      </c>
      <c r="H461">
        <f>(1+3*0.8525/1.128379)*Capability!$F$7</f>
        <v/>
      </c>
      <c r="I461">
        <f>IF(ISNUMBER(B461),IF(OR(B461&gt;D461,B461&lt;E461),"OUT",""),"")</f>
        <v/>
      </c>
    </row>
    <row r="462">
      <c r="A462" t="n">
        <v>458</v>
      </c>
      <c r="B462">
        <f>IF(ISNUMBER(Capability!B467),Capability!B467,NA())</f>
        <v/>
      </c>
      <c r="C462">
        <f>Capability!$F$5</f>
        <v/>
      </c>
      <c r="D462">
        <f>Capability!$F$5+3*Capability!$F$8</f>
        <v/>
      </c>
      <c r="E462">
        <f>Capability!$F$5-3*Capability!$F$8</f>
        <v/>
      </c>
      <c r="F462">
        <f>IF(ISNUMBER(Capability!C467),Capability!C467,NA())</f>
        <v/>
      </c>
      <c r="G462">
        <f>Capability!$F$7</f>
        <v/>
      </c>
      <c r="H462">
        <f>(1+3*0.8525/1.128379)*Capability!$F$7</f>
        <v/>
      </c>
      <c r="I462">
        <f>IF(ISNUMBER(B462),IF(OR(B462&gt;D462,B462&lt;E462),"OUT",""),"")</f>
        <v/>
      </c>
    </row>
    <row r="463">
      <c r="A463" t="n">
        <v>459</v>
      </c>
      <c r="B463">
        <f>IF(ISNUMBER(Capability!B468),Capability!B468,NA())</f>
        <v/>
      </c>
      <c r="C463">
        <f>Capability!$F$5</f>
        <v/>
      </c>
      <c r="D463">
        <f>Capability!$F$5+3*Capability!$F$8</f>
        <v/>
      </c>
      <c r="E463">
        <f>Capability!$F$5-3*Capability!$F$8</f>
        <v/>
      </c>
      <c r="F463">
        <f>IF(ISNUMBER(Capability!C468),Capability!C468,NA())</f>
        <v/>
      </c>
      <c r="G463">
        <f>Capability!$F$7</f>
        <v/>
      </c>
      <c r="H463">
        <f>(1+3*0.8525/1.128379)*Capability!$F$7</f>
        <v/>
      </c>
      <c r="I463">
        <f>IF(ISNUMBER(B463),IF(OR(B463&gt;D463,B463&lt;E463),"OUT",""),"")</f>
        <v/>
      </c>
    </row>
    <row r="464">
      <c r="A464" t="n">
        <v>460</v>
      </c>
      <c r="B464">
        <f>IF(ISNUMBER(Capability!B469),Capability!B469,NA())</f>
        <v/>
      </c>
      <c r="C464">
        <f>Capability!$F$5</f>
        <v/>
      </c>
      <c r="D464">
        <f>Capability!$F$5+3*Capability!$F$8</f>
        <v/>
      </c>
      <c r="E464">
        <f>Capability!$F$5-3*Capability!$F$8</f>
        <v/>
      </c>
      <c r="F464">
        <f>IF(ISNUMBER(Capability!C469),Capability!C469,NA())</f>
        <v/>
      </c>
      <c r="G464">
        <f>Capability!$F$7</f>
        <v/>
      </c>
      <c r="H464">
        <f>(1+3*0.8525/1.128379)*Capability!$F$7</f>
        <v/>
      </c>
      <c r="I464">
        <f>IF(ISNUMBER(B464),IF(OR(B464&gt;D464,B464&lt;E464),"OUT",""),"")</f>
        <v/>
      </c>
    </row>
    <row r="465">
      <c r="A465" t="n">
        <v>461</v>
      </c>
      <c r="B465">
        <f>IF(ISNUMBER(Capability!B470),Capability!B470,NA())</f>
        <v/>
      </c>
      <c r="C465">
        <f>Capability!$F$5</f>
        <v/>
      </c>
      <c r="D465">
        <f>Capability!$F$5+3*Capability!$F$8</f>
        <v/>
      </c>
      <c r="E465">
        <f>Capability!$F$5-3*Capability!$F$8</f>
        <v/>
      </c>
      <c r="F465">
        <f>IF(ISNUMBER(Capability!C470),Capability!C470,NA())</f>
        <v/>
      </c>
      <c r="G465">
        <f>Capability!$F$7</f>
        <v/>
      </c>
      <c r="H465">
        <f>(1+3*0.8525/1.128379)*Capability!$F$7</f>
        <v/>
      </c>
      <c r="I465">
        <f>IF(ISNUMBER(B465),IF(OR(B465&gt;D465,B465&lt;E465),"OUT",""),"")</f>
        <v/>
      </c>
    </row>
    <row r="466">
      <c r="A466" t="n">
        <v>462</v>
      </c>
      <c r="B466">
        <f>IF(ISNUMBER(Capability!B471),Capability!B471,NA())</f>
        <v/>
      </c>
      <c r="C466">
        <f>Capability!$F$5</f>
        <v/>
      </c>
      <c r="D466">
        <f>Capability!$F$5+3*Capability!$F$8</f>
        <v/>
      </c>
      <c r="E466">
        <f>Capability!$F$5-3*Capability!$F$8</f>
        <v/>
      </c>
      <c r="F466">
        <f>IF(ISNUMBER(Capability!C471),Capability!C471,NA())</f>
        <v/>
      </c>
      <c r="G466">
        <f>Capability!$F$7</f>
        <v/>
      </c>
      <c r="H466">
        <f>(1+3*0.8525/1.128379)*Capability!$F$7</f>
        <v/>
      </c>
      <c r="I466">
        <f>IF(ISNUMBER(B466),IF(OR(B466&gt;D466,B466&lt;E466),"OUT",""),"")</f>
        <v/>
      </c>
    </row>
    <row r="467">
      <c r="A467" t="n">
        <v>463</v>
      </c>
      <c r="B467">
        <f>IF(ISNUMBER(Capability!B472),Capability!B472,NA())</f>
        <v/>
      </c>
      <c r="C467">
        <f>Capability!$F$5</f>
        <v/>
      </c>
      <c r="D467">
        <f>Capability!$F$5+3*Capability!$F$8</f>
        <v/>
      </c>
      <c r="E467">
        <f>Capability!$F$5-3*Capability!$F$8</f>
        <v/>
      </c>
      <c r="F467">
        <f>IF(ISNUMBER(Capability!C472),Capability!C472,NA())</f>
        <v/>
      </c>
      <c r="G467">
        <f>Capability!$F$7</f>
        <v/>
      </c>
      <c r="H467">
        <f>(1+3*0.8525/1.128379)*Capability!$F$7</f>
        <v/>
      </c>
      <c r="I467">
        <f>IF(ISNUMBER(B467),IF(OR(B467&gt;D467,B467&lt;E467),"OUT",""),"")</f>
        <v/>
      </c>
    </row>
    <row r="468">
      <c r="A468" t="n">
        <v>464</v>
      </c>
      <c r="B468">
        <f>IF(ISNUMBER(Capability!B473),Capability!B473,NA())</f>
        <v/>
      </c>
      <c r="C468">
        <f>Capability!$F$5</f>
        <v/>
      </c>
      <c r="D468">
        <f>Capability!$F$5+3*Capability!$F$8</f>
        <v/>
      </c>
      <c r="E468">
        <f>Capability!$F$5-3*Capability!$F$8</f>
        <v/>
      </c>
      <c r="F468">
        <f>IF(ISNUMBER(Capability!C473),Capability!C473,NA())</f>
        <v/>
      </c>
      <c r="G468">
        <f>Capability!$F$7</f>
        <v/>
      </c>
      <c r="H468">
        <f>(1+3*0.8525/1.128379)*Capability!$F$7</f>
        <v/>
      </c>
      <c r="I468">
        <f>IF(ISNUMBER(B468),IF(OR(B468&gt;D468,B468&lt;E468),"OUT",""),"")</f>
        <v/>
      </c>
    </row>
    <row r="469">
      <c r="A469" t="n">
        <v>465</v>
      </c>
      <c r="B469">
        <f>IF(ISNUMBER(Capability!B474),Capability!B474,NA())</f>
        <v/>
      </c>
      <c r="C469">
        <f>Capability!$F$5</f>
        <v/>
      </c>
      <c r="D469">
        <f>Capability!$F$5+3*Capability!$F$8</f>
        <v/>
      </c>
      <c r="E469">
        <f>Capability!$F$5-3*Capability!$F$8</f>
        <v/>
      </c>
      <c r="F469">
        <f>IF(ISNUMBER(Capability!C474),Capability!C474,NA())</f>
        <v/>
      </c>
      <c r="G469">
        <f>Capability!$F$7</f>
        <v/>
      </c>
      <c r="H469">
        <f>(1+3*0.8525/1.128379)*Capability!$F$7</f>
        <v/>
      </c>
      <c r="I469">
        <f>IF(ISNUMBER(B469),IF(OR(B469&gt;D469,B469&lt;E469),"OUT",""),"")</f>
        <v/>
      </c>
    </row>
    <row r="470">
      <c r="A470" t="n">
        <v>466</v>
      </c>
      <c r="B470">
        <f>IF(ISNUMBER(Capability!B475),Capability!B475,NA())</f>
        <v/>
      </c>
      <c r="C470">
        <f>Capability!$F$5</f>
        <v/>
      </c>
      <c r="D470">
        <f>Capability!$F$5+3*Capability!$F$8</f>
        <v/>
      </c>
      <c r="E470">
        <f>Capability!$F$5-3*Capability!$F$8</f>
        <v/>
      </c>
      <c r="F470">
        <f>IF(ISNUMBER(Capability!C475),Capability!C475,NA())</f>
        <v/>
      </c>
      <c r="G470">
        <f>Capability!$F$7</f>
        <v/>
      </c>
      <c r="H470">
        <f>(1+3*0.8525/1.128379)*Capability!$F$7</f>
        <v/>
      </c>
      <c r="I470">
        <f>IF(ISNUMBER(B470),IF(OR(B470&gt;D470,B470&lt;E470),"OUT",""),"")</f>
        <v/>
      </c>
    </row>
    <row r="471">
      <c r="A471" t="n">
        <v>467</v>
      </c>
      <c r="B471">
        <f>IF(ISNUMBER(Capability!B476),Capability!B476,NA())</f>
        <v/>
      </c>
      <c r="C471">
        <f>Capability!$F$5</f>
        <v/>
      </c>
      <c r="D471">
        <f>Capability!$F$5+3*Capability!$F$8</f>
        <v/>
      </c>
      <c r="E471">
        <f>Capability!$F$5-3*Capability!$F$8</f>
        <v/>
      </c>
      <c r="F471">
        <f>IF(ISNUMBER(Capability!C476),Capability!C476,NA())</f>
        <v/>
      </c>
      <c r="G471">
        <f>Capability!$F$7</f>
        <v/>
      </c>
      <c r="H471">
        <f>(1+3*0.8525/1.128379)*Capability!$F$7</f>
        <v/>
      </c>
      <c r="I471">
        <f>IF(ISNUMBER(B471),IF(OR(B471&gt;D471,B471&lt;E471),"OUT",""),"")</f>
        <v/>
      </c>
    </row>
    <row r="472">
      <c r="A472" t="n">
        <v>468</v>
      </c>
      <c r="B472">
        <f>IF(ISNUMBER(Capability!B477),Capability!B477,NA())</f>
        <v/>
      </c>
      <c r="C472">
        <f>Capability!$F$5</f>
        <v/>
      </c>
      <c r="D472">
        <f>Capability!$F$5+3*Capability!$F$8</f>
        <v/>
      </c>
      <c r="E472">
        <f>Capability!$F$5-3*Capability!$F$8</f>
        <v/>
      </c>
      <c r="F472">
        <f>IF(ISNUMBER(Capability!C477),Capability!C477,NA())</f>
        <v/>
      </c>
      <c r="G472">
        <f>Capability!$F$7</f>
        <v/>
      </c>
      <c r="H472">
        <f>(1+3*0.8525/1.128379)*Capability!$F$7</f>
        <v/>
      </c>
      <c r="I472">
        <f>IF(ISNUMBER(B472),IF(OR(B472&gt;D472,B472&lt;E472),"OUT",""),"")</f>
        <v/>
      </c>
    </row>
    <row r="473">
      <c r="A473" t="n">
        <v>469</v>
      </c>
      <c r="B473">
        <f>IF(ISNUMBER(Capability!B478),Capability!B478,NA())</f>
        <v/>
      </c>
      <c r="C473">
        <f>Capability!$F$5</f>
        <v/>
      </c>
      <c r="D473">
        <f>Capability!$F$5+3*Capability!$F$8</f>
        <v/>
      </c>
      <c r="E473">
        <f>Capability!$F$5-3*Capability!$F$8</f>
        <v/>
      </c>
      <c r="F473">
        <f>IF(ISNUMBER(Capability!C478),Capability!C478,NA())</f>
        <v/>
      </c>
      <c r="G473">
        <f>Capability!$F$7</f>
        <v/>
      </c>
      <c r="H473">
        <f>(1+3*0.8525/1.128379)*Capability!$F$7</f>
        <v/>
      </c>
      <c r="I473">
        <f>IF(ISNUMBER(B473),IF(OR(B473&gt;D473,B473&lt;E473),"OUT",""),"")</f>
        <v/>
      </c>
    </row>
    <row r="474">
      <c r="A474" t="n">
        <v>470</v>
      </c>
      <c r="B474">
        <f>IF(ISNUMBER(Capability!B479),Capability!B479,NA())</f>
        <v/>
      </c>
      <c r="C474">
        <f>Capability!$F$5</f>
        <v/>
      </c>
      <c r="D474">
        <f>Capability!$F$5+3*Capability!$F$8</f>
        <v/>
      </c>
      <c r="E474">
        <f>Capability!$F$5-3*Capability!$F$8</f>
        <v/>
      </c>
      <c r="F474">
        <f>IF(ISNUMBER(Capability!C479),Capability!C479,NA())</f>
        <v/>
      </c>
      <c r="G474">
        <f>Capability!$F$7</f>
        <v/>
      </c>
      <c r="H474">
        <f>(1+3*0.8525/1.128379)*Capability!$F$7</f>
        <v/>
      </c>
      <c r="I474">
        <f>IF(ISNUMBER(B474),IF(OR(B474&gt;D474,B474&lt;E474),"OUT",""),"")</f>
        <v/>
      </c>
    </row>
    <row r="475">
      <c r="A475" t="n">
        <v>471</v>
      </c>
      <c r="B475">
        <f>IF(ISNUMBER(Capability!B480),Capability!B480,NA())</f>
        <v/>
      </c>
      <c r="C475">
        <f>Capability!$F$5</f>
        <v/>
      </c>
      <c r="D475">
        <f>Capability!$F$5+3*Capability!$F$8</f>
        <v/>
      </c>
      <c r="E475">
        <f>Capability!$F$5-3*Capability!$F$8</f>
        <v/>
      </c>
      <c r="F475">
        <f>IF(ISNUMBER(Capability!C480),Capability!C480,NA())</f>
        <v/>
      </c>
      <c r="G475">
        <f>Capability!$F$7</f>
        <v/>
      </c>
      <c r="H475">
        <f>(1+3*0.8525/1.128379)*Capability!$F$7</f>
        <v/>
      </c>
      <c r="I475">
        <f>IF(ISNUMBER(B475),IF(OR(B475&gt;D475,B475&lt;E475),"OUT",""),"")</f>
        <v/>
      </c>
    </row>
    <row r="476">
      <c r="A476" t="n">
        <v>472</v>
      </c>
      <c r="B476">
        <f>IF(ISNUMBER(Capability!B481),Capability!B481,NA())</f>
        <v/>
      </c>
      <c r="C476">
        <f>Capability!$F$5</f>
        <v/>
      </c>
      <c r="D476">
        <f>Capability!$F$5+3*Capability!$F$8</f>
        <v/>
      </c>
      <c r="E476">
        <f>Capability!$F$5-3*Capability!$F$8</f>
        <v/>
      </c>
      <c r="F476">
        <f>IF(ISNUMBER(Capability!C481),Capability!C481,NA())</f>
        <v/>
      </c>
      <c r="G476">
        <f>Capability!$F$7</f>
        <v/>
      </c>
      <c r="H476">
        <f>(1+3*0.8525/1.128379)*Capability!$F$7</f>
        <v/>
      </c>
      <c r="I476">
        <f>IF(ISNUMBER(B476),IF(OR(B476&gt;D476,B476&lt;E476),"OUT",""),"")</f>
        <v/>
      </c>
    </row>
    <row r="477">
      <c r="A477" t="n">
        <v>473</v>
      </c>
      <c r="B477">
        <f>IF(ISNUMBER(Capability!B482),Capability!B482,NA())</f>
        <v/>
      </c>
      <c r="C477">
        <f>Capability!$F$5</f>
        <v/>
      </c>
      <c r="D477">
        <f>Capability!$F$5+3*Capability!$F$8</f>
        <v/>
      </c>
      <c r="E477">
        <f>Capability!$F$5-3*Capability!$F$8</f>
        <v/>
      </c>
      <c r="F477">
        <f>IF(ISNUMBER(Capability!C482),Capability!C482,NA())</f>
        <v/>
      </c>
      <c r="G477">
        <f>Capability!$F$7</f>
        <v/>
      </c>
      <c r="H477">
        <f>(1+3*0.8525/1.128379)*Capability!$F$7</f>
        <v/>
      </c>
      <c r="I477">
        <f>IF(ISNUMBER(B477),IF(OR(B477&gt;D477,B477&lt;E477),"OUT",""),"")</f>
        <v/>
      </c>
    </row>
    <row r="478">
      <c r="A478" t="n">
        <v>474</v>
      </c>
      <c r="B478">
        <f>IF(ISNUMBER(Capability!B483),Capability!B483,NA())</f>
        <v/>
      </c>
      <c r="C478">
        <f>Capability!$F$5</f>
        <v/>
      </c>
      <c r="D478">
        <f>Capability!$F$5+3*Capability!$F$8</f>
        <v/>
      </c>
      <c r="E478">
        <f>Capability!$F$5-3*Capability!$F$8</f>
        <v/>
      </c>
      <c r="F478">
        <f>IF(ISNUMBER(Capability!C483),Capability!C483,NA())</f>
        <v/>
      </c>
      <c r="G478">
        <f>Capability!$F$7</f>
        <v/>
      </c>
      <c r="H478">
        <f>(1+3*0.8525/1.128379)*Capability!$F$7</f>
        <v/>
      </c>
      <c r="I478">
        <f>IF(ISNUMBER(B478),IF(OR(B478&gt;D478,B478&lt;E478),"OUT",""),"")</f>
        <v/>
      </c>
    </row>
    <row r="479">
      <c r="A479" t="n">
        <v>475</v>
      </c>
      <c r="B479">
        <f>IF(ISNUMBER(Capability!B484),Capability!B484,NA())</f>
        <v/>
      </c>
      <c r="C479">
        <f>Capability!$F$5</f>
        <v/>
      </c>
      <c r="D479">
        <f>Capability!$F$5+3*Capability!$F$8</f>
        <v/>
      </c>
      <c r="E479">
        <f>Capability!$F$5-3*Capability!$F$8</f>
        <v/>
      </c>
      <c r="F479">
        <f>IF(ISNUMBER(Capability!C484),Capability!C484,NA())</f>
        <v/>
      </c>
      <c r="G479">
        <f>Capability!$F$7</f>
        <v/>
      </c>
      <c r="H479">
        <f>(1+3*0.8525/1.128379)*Capability!$F$7</f>
        <v/>
      </c>
      <c r="I479">
        <f>IF(ISNUMBER(B479),IF(OR(B479&gt;D479,B479&lt;E479),"OUT",""),"")</f>
        <v/>
      </c>
    </row>
    <row r="480">
      <c r="A480" t="n">
        <v>476</v>
      </c>
      <c r="B480">
        <f>IF(ISNUMBER(Capability!B485),Capability!B485,NA())</f>
        <v/>
      </c>
      <c r="C480">
        <f>Capability!$F$5</f>
        <v/>
      </c>
      <c r="D480">
        <f>Capability!$F$5+3*Capability!$F$8</f>
        <v/>
      </c>
      <c r="E480">
        <f>Capability!$F$5-3*Capability!$F$8</f>
        <v/>
      </c>
      <c r="F480">
        <f>IF(ISNUMBER(Capability!C485),Capability!C485,NA())</f>
        <v/>
      </c>
      <c r="G480">
        <f>Capability!$F$7</f>
        <v/>
      </c>
      <c r="H480">
        <f>(1+3*0.8525/1.128379)*Capability!$F$7</f>
        <v/>
      </c>
      <c r="I480">
        <f>IF(ISNUMBER(B480),IF(OR(B480&gt;D480,B480&lt;E480),"OUT",""),"")</f>
        <v/>
      </c>
    </row>
    <row r="481">
      <c r="A481" t="n">
        <v>477</v>
      </c>
      <c r="B481">
        <f>IF(ISNUMBER(Capability!B486),Capability!B486,NA())</f>
        <v/>
      </c>
      <c r="C481">
        <f>Capability!$F$5</f>
        <v/>
      </c>
      <c r="D481">
        <f>Capability!$F$5+3*Capability!$F$8</f>
        <v/>
      </c>
      <c r="E481">
        <f>Capability!$F$5-3*Capability!$F$8</f>
        <v/>
      </c>
      <c r="F481">
        <f>IF(ISNUMBER(Capability!C486),Capability!C486,NA())</f>
        <v/>
      </c>
      <c r="G481">
        <f>Capability!$F$7</f>
        <v/>
      </c>
      <c r="H481">
        <f>(1+3*0.8525/1.128379)*Capability!$F$7</f>
        <v/>
      </c>
      <c r="I481">
        <f>IF(ISNUMBER(B481),IF(OR(B481&gt;D481,B481&lt;E481),"OUT",""),"")</f>
        <v/>
      </c>
    </row>
    <row r="482">
      <c r="A482" t="n">
        <v>478</v>
      </c>
      <c r="B482">
        <f>IF(ISNUMBER(Capability!B487),Capability!B487,NA())</f>
        <v/>
      </c>
      <c r="C482">
        <f>Capability!$F$5</f>
        <v/>
      </c>
      <c r="D482">
        <f>Capability!$F$5+3*Capability!$F$8</f>
        <v/>
      </c>
      <c r="E482">
        <f>Capability!$F$5-3*Capability!$F$8</f>
        <v/>
      </c>
      <c r="F482">
        <f>IF(ISNUMBER(Capability!C487),Capability!C487,NA())</f>
        <v/>
      </c>
      <c r="G482">
        <f>Capability!$F$7</f>
        <v/>
      </c>
      <c r="H482">
        <f>(1+3*0.8525/1.128379)*Capability!$F$7</f>
        <v/>
      </c>
      <c r="I482">
        <f>IF(ISNUMBER(B482),IF(OR(B482&gt;D482,B482&lt;E482),"OUT",""),"")</f>
        <v/>
      </c>
    </row>
    <row r="483">
      <c r="A483" t="n">
        <v>479</v>
      </c>
      <c r="B483">
        <f>IF(ISNUMBER(Capability!B488),Capability!B488,NA())</f>
        <v/>
      </c>
      <c r="C483">
        <f>Capability!$F$5</f>
        <v/>
      </c>
      <c r="D483">
        <f>Capability!$F$5+3*Capability!$F$8</f>
        <v/>
      </c>
      <c r="E483">
        <f>Capability!$F$5-3*Capability!$F$8</f>
        <v/>
      </c>
      <c r="F483">
        <f>IF(ISNUMBER(Capability!C488),Capability!C488,NA())</f>
        <v/>
      </c>
      <c r="G483">
        <f>Capability!$F$7</f>
        <v/>
      </c>
      <c r="H483">
        <f>(1+3*0.8525/1.128379)*Capability!$F$7</f>
        <v/>
      </c>
      <c r="I483">
        <f>IF(ISNUMBER(B483),IF(OR(B483&gt;D483,B483&lt;E483),"OUT",""),"")</f>
        <v/>
      </c>
    </row>
    <row r="484">
      <c r="A484" t="n">
        <v>480</v>
      </c>
      <c r="B484">
        <f>IF(ISNUMBER(Capability!B489),Capability!B489,NA())</f>
        <v/>
      </c>
      <c r="C484">
        <f>Capability!$F$5</f>
        <v/>
      </c>
      <c r="D484">
        <f>Capability!$F$5+3*Capability!$F$8</f>
        <v/>
      </c>
      <c r="E484">
        <f>Capability!$F$5-3*Capability!$F$8</f>
        <v/>
      </c>
      <c r="F484">
        <f>IF(ISNUMBER(Capability!C489),Capability!C489,NA())</f>
        <v/>
      </c>
      <c r="G484">
        <f>Capability!$F$7</f>
        <v/>
      </c>
      <c r="H484">
        <f>(1+3*0.8525/1.128379)*Capability!$F$7</f>
        <v/>
      </c>
      <c r="I484">
        <f>IF(ISNUMBER(B484),IF(OR(B484&gt;D484,B484&lt;E484),"OUT",""),"")</f>
        <v/>
      </c>
    </row>
    <row r="485">
      <c r="A485" t="n">
        <v>481</v>
      </c>
      <c r="B485">
        <f>IF(ISNUMBER(Capability!B490),Capability!B490,NA())</f>
        <v/>
      </c>
      <c r="C485">
        <f>Capability!$F$5</f>
        <v/>
      </c>
      <c r="D485">
        <f>Capability!$F$5+3*Capability!$F$8</f>
        <v/>
      </c>
      <c r="E485">
        <f>Capability!$F$5-3*Capability!$F$8</f>
        <v/>
      </c>
      <c r="F485">
        <f>IF(ISNUMBER(Capability!C490),Capability!C490,NA())</f>
        <v/>
      </c>
      <c r="G485">
        <f>Capability!$F$7</f>
        <v/>
      </c>
      <c r="H485">
        <f>(1+3*0.8525/1.128379)*Capability!$F$7</f>
        <v/>
      </c>
      <c r="I485">
        <f>IF(ISNUMBER(B485),IF(OR(B485&gt;D485,B485&lt;E485),"OUT",""),"")</f>
        <v/>
      </c>
    </row>
    <row r="486">
      <c r="A486" t="n">
        <v>482</v>
      </c>
      <c r="B486">
        <f>IF(ISNUMBER(Capability!B491),Capability!B491,NA())</f>
        <v/>
      </c>
      <c r="C486">
        <f>Capability!$F$5</f>
        <v/>
      </c>
      <c r="D486">
        <f>Capability!$F$5+3*Capability!$F$8</f>
        <v/>
      </c>
      <c r="E486">
        <f>Capability!$F$5-3*Capability!$F$8</f>
        <v/>
      </c>
      <c r="F486">
        <f>IF(ISNUMBER(Capability!C491),Capability!C491,NA())</f>
        <v/>
      </c>
      <c r="G486">
        <f>Capability!$F$7</f>
        <v/>
      </c>
      <c r="H486">
        <f>(1+3*0.8525/1.128379)*Capability!$F$7</f>
        <v/>
      </c>
      <c r="I486">
        <f>IF(ISNUMBER(B486),IF(OR(B486&gt;D486,B486&lt;E486),"OUT",""),"")</f>
        <v/>
      </c>
    </row>
    <row r="487">
      <c r="A487" t="n">
        <v>483</v>
      </c>
      <c r="B487">
        <f>IF(ISNUMBER(Capability!B492),Capability!B492,NA())</f>
        <v/>
      </c>
      <c r="C487">
        <f>Capability!$F$5</f>
        <v/>
      </c>
      <c r="D487">
        <f>Capability!$F$5+3*Capability!$F$8</f>
        <v/>
      </c>
      <c r="E487">
        <f>Capability!$F$5-3*Capability!$F$8</f>
        <v/>
      </c>
      <c r="F487">
        <f>IF(ISNUMBER(Capability!C492),Capability!C492,NA())</f>
        <v/>
      </c>
      <c r="G487">
        <f>Capability!$F$7</f>
        <v/>
      </c>
      <c r="H487">
        <f>(1+3*0.8525/1.128379)*Capability!$F$7</f>
        <v/>
      </c>
      <c r="I487">
        <f>IF(ISNUMBER(B487),IF(OR(B487&gt;D487,B487&lt;E487),"OUT",""),"")</f>
        <v/>
      </c>
    </row>
    <row r="488">
      <c r="A488" t="n">
        <v>484</v>
      </c>
      <c r="B488">
        <f>IF(ISNUMBER(Capability!B493),Capability!B493,NA())</f>
        <v/>
      </c>
      <c r="C488">
        <f>Capability!$F$5</f>
        <v/>
      </c>
      <c r="D488">
        <f>Capability!$F$5+3*Capability!$F$8</f>
        <v/>
      </c>
      <c r="E488">
        <f>Capability!$F$5-3*Capability!$F$8</f>
        <v/>
      </c>
      <c r="F488">
        <f>IF(ISNUMBER(Capability!C493),Capability!C493,NA())</f>
        <v/>
      </c>
      <c r="G488">
        <f>Capability!$F$7</f>
        <v/>
      </c>
      <c r="H488">
        <f>(1+3*0.8525/1.128379)*Capability!$F$7</f>
        <v/>
      </c>
      <c r="I488">
        <f>IF(ISNUMBER(B488),IF(OR(B488&gt;D488,B488&lt;E488),"OUT",""),"")</f>
        <v/>
      </c>
    </row>
    <row r="489">
      <c r="A489" t="n">
        <v>485</v>
      </c>
      <c r="B489">
        <f>IF(ISNUMBER(Capability!B494),Capability!B494,NA())</f>
        <v/>
      </c>
      <c r="C489">
        <f>Capability!$F$5</f>
        <v/>
      </c>
      <c r="D489">
        <f>Capability!$F$5+3*Capability!$F$8</f>
        <v/>
      </c>
      <c r="E489">
        <f>Capability!$F$5-3*Capability!$F$8</f>
        <v/>
      </c>
      <c r="F489">
        <f>IF(ISNUMBER(Capability!C494),Capability!C494,NA())</f>
        <v/>
      </c>
      <c r="G489">
        <f>Capability!$F$7</f>
        <v/>
      </c>
      <c r="H489">
        <f>(1+3*0.8525/1.128379)*Capability!$F$7</f>
        <v/>
      </c>
      <c r="I489">
        <f>IF(ISNUMBER(B489),IF(OR(B489&gt;D489,B489&lt;E489),"OUT",""),"")</f>
        <v/>
      </c>
    </row>
    <row r="490">
      <c r="A490" t="n">
        <v>486</v>
      </c>
      <c r="B490">
        <f>IF(ISNUMBER(Capability!B495),Capability!B495,NA())</f>
        <v/>
      </c>
      <c r="C490">
        <f>Capability!$F$5</f>
        <v/>
      </c>
      <c r="D490">
        <f>Capability!$F$5+3*Capability!$F$8</f>
        <v/>
      </c>
      <c r="E490">
        <f>Capability!$F$5-3*Capability!$F$8</f>
        <v/>
      </c>
      <c r="F490">
        <f>IF(ISNUMBER(Capability!C495),Capability!C495,NA())</f>
        <v/>
      </c>
      <c r="G490">
        <f>Capability!$F$7</f>
        <v/>
      </c>
      <c r="H490">
        <f>(1+3*0.8525/1.128379)*Capability!$F$7</f>
        <v/>
      </c>
      <c r="I490">
        <f>IF(ISNUMBER(B490),IF(OR(B490&gt;D490,B490&lt;E490),"OUT",""),"")</f>
        <v/>
      </c>
    </row>
    <row r="491">
      <c r="A491" t="n">
        <v>487</v>
      </c>
      <c r="B491">
        <f>IF(ISNUMBER(Capability!B496),Capability!B496,NA())</f>
        <v/>
      </c>
      <c r="C491">
        <f>Capability!$F$5</f>
        <v/>
      </c>
      <c r="D491">
        <f>Capability!$F$5+3*Capability!$F$8</f>
        <v/>
      </c>
      <c r="E491">
        <f>Capability!$F$5-3*Capability!$F$8</f>
        <v/>
      </c>
      <c r="F491">
        <f>IF(ISNUMBER(Capability!C496),Capability!C496,NA())</f>
        <v/>
      </c>
      <c r="G491">
        <f>Capability!$F$7</f>
        <v/>
      </c>
      <c r="H491">
        <f>(1+3*0.8525/1.128379)*Capability!$F$7</f>
        <v/>
      </c>
      <c r="I491">
        <f>IF(ISNUMBER(B491),IF(OR(B491&gt;D491,B491&lt;E491),"OUT",""),"")</f>
        <v/>
      </c>
    </row>
    <row r="492">
      <c r="A492" t="n">
        <v>488</v>
      </c>
      <c r="B492">
        <f>IF(ISNUMBER(Capability!B497),Capability!B497,NA())</f>
        <v/>
      </c>
      <c r="C492">
        <f>Capability!$F$5</f>
        <v/>
      </c>
      <c r="D492">
        <f>Capability!$F$5+3*Capability!$F$8</f>
        <v/>
      </c>
      <c r="E492">
        <f>Capability!$F$5-3*Capability!$F$8</f>
        <v/>
      </c>
      <c r="F492">
        <f>IF(ISNUMBER(Capability!C497),Capability!C497,NA())</f>
        <v/>
      </c>
      <c r="G492">
        <f>Capability!$F$7</f>
        <v/>
      </c>
      <c r="H492">
        <f>(1+3*0.8525/1.128379)*Capability!$F$7</f>
        <v/>
      </c>
      <c r="I492">
        <f>IF(ISNUMBER(B492),IF(OR(B492&gt;D492,B492&lt;E492),"OUT",""),"")</f>
        <v/>
      </c>
    </row>
    <row r="493">
      <c r="A493" t="n">
        <v>489</v>
      </c>
      <c r="B493">
        <f>IF(ISNUMBER(Capability!B498),Capability!B498,NA())</f>
        <v/>
      </c>
      <c r="C493">
        <f>Capability!$F$5</f>
        <v/>
      </c>
      <c r="D493">
        <f>Capability!$F$5+3*Capability!$F$8</f>
        <v/>
      </c>
      <c r="E493">
        <f>Capability!$F$5-3*Capability!$F$8</f>
        <v/>
      </c>
      <c r="F493">
        <f>IF(ISNUMBER(Capability!C498),Capability!C498,NA())</f>
        <v/>
      </c>
      <c r="G493">
        <f>Capability!$F$7</f>
        <v/>
      </c>
      <c r="H493">
        <f>(1+3*0.8525/1.128379)*Capability!$F$7</f>
        <v/>
      </c>
      <c r="I493">
        <f>IF(ISNUMBER(B493),IF(OR(B493&gt;D493,B493&lt;E493),"OUT",""),"")</f>
        <v/>
      </c>
    </row>
    <row r="494">
      <c r="A494" t="n">
        <v>490</v>
      </c>
      <c r="B494">
        <f>IF(ISNUMBER(Capability!B499),Capability!B499,NA())</f>
        <v/>
      </c>
      <c r="C494">
        <f>Capability!$F$5</f>
        <v/>
      </c>
      <c r="D494">
        <f>Capability!$F$5+3*Capability!$F$8</f>
        <v/>
      </c>
      <c r="E494">
        <f>Capability!$F$5-3*Capability!$F$8</f>
        <v/>
      </c>
      <c r="F494">
        <f>IF(ISNUMBER(Capability!C499),Capability!C499,NA())</f>
        <v/>
      </c>
      <c r="G494">
        <f>Capability!$F$7</f>
        <v/>
      </c>
      <c r="H494">
        <f>(1+3*0.8525/1.128379)*Capability!$F$7</f>
        <v/>
      </c>
      <c r="I494">
        <f>IF(ISNUMBER(B494),IF(OR(B494&gt;D494,B494&lt;E494),"OUT",""),"")</f>
        <v/>
      </c>
    </row>
    <row r="495">
      <c r="A495" t="n">
        <v>491</v>
      </c>
      <c r="B495">
        <f>IF(ISNUMBER(Capability!B500),Capability!B500,NA())</f>
        <v/>
      </c>
      <c r="C495">
        <f>Capability!$F$5</f>
        <v/>
      </c>
      <c r="D495">
        <f>Capability!$F$5+3*Capability!$F$8</f>
        <v/>
      </c>
      <c r="E495">
        <f>Capability!$F$5-3*Capability!$F$8</f>
        <v/>
      </c>
      <c r="F495">
        <f>IF(ISNUMBER(Capability!C500),Capability!C500,NA())</f>
        <v/>
      </c>
      <c r="G495">
        <f>Capability!$F$7</f>
        <v/>
      </c>
      <c r="H495">
        <f>(1+3*0.8525/1.128379)*Capability!$F$7</f>
        <v/>
      </c>
      <c r="I495">
        <f>IF(ISNUMBER(B495),IF(OR(B495&gt;D495,B495&lt;E495),"OUT",""),"")</f>
        <v/>
      </c>
    </row>
    <row r="496">
      <c r="A496" t="n">
        <v>492</v>
      </c>
      <c r="B496">
        <f>IF(ISNUMBER(Capability!B501),Capability!B501,NA())</f>
        <v/>
      </c>
      <c r="C496">
        <f>Capability!$F$5</f>
        <v/>
      </c>
      <c r="D496">
        <f>Capability!$F$5+3*Capability!$F$8</f>
        <v/>
      </c>
      <c r="E496">
        <f>Capability!$F$5-3*Capability!$F$8</f>
        <v/>
      </c>
      <c r="F496">
        <f>IF(ISNUMBER(Capability!C501),Capability!C501,NA())</f>
        <v/>
      </c>
      <c r="G496">
        <f>Capability!$F$7</f>
        <v/>
      </c>
      <c r="H496">
        <f>(1+3*0.8525/1.128379)*Capability!$F$7</f>
        <v/>
      </c>
      <c r="I496">
        <f>IF(ISNUMBER(B496),IF(OR(B496&gt;D496,B496&lt;E496),"OUT",""),"")</f>
        <v/>
      </c>
    </row>
    <row r="497">
      <c r="A497" t="n">
        <v>493</v>
      </c>
      <c r="B497">
        <f>IF(ISNUMBER(Capability!B502),Capability!B502,NA())</f>
        <v/>
      </c>
      <c r="C497">
        <f>Capability!$F$5</f>
        <v/>
      </c>
      <c r="D497">
        <f>Capability!$F$5+3*Capability!$F$8</f>
        <v/>
      </c>
      <c r="E497">
        <f>Capability!$F$5-3*Capability!$F$8</f>
        <v/>
      </c>
      <c r="F497">
        <f>IF(ISNUMBER(Capability!C502),Capability!C502,NA())</f>
        <v/>
      </c>
      <c r="G497">
        <f>Capability!$F$7</f>
        <v/>
      </c>
      <c r="H497">
        <f>(1+3*0.8525/1.128379)*Capability!$F$7</f>
        <v/>
      </c>
      <c r="I497">
        <f>IF(ISNUMBER(B497),IF(OR(B497&gt;D497,B497&lt;E497),"OUT",""),"")</f>
        <v/>
      </c>
    </row>
    <row r="498">
      <c r="A498" t="n">
        <v>494</v>
      </c>
      <c r="B498">
        <f>IF(ISNUMBER(Capability!B503),Capability!B503,NA())</f>
        <v/>
      </c>
      <c r="C498">
        <f>Capability!$F$5</f>
        <v/>
      </c>
      <c r="D498">
        <f>Capability!$F$5+3*Capability!$F$8</f>
        <v/>
      </c>
      <c r="E498">
        <f>Capability!$F$5-3*Capability!$F$8</f>
        <v/>
      </c>
      <c r="F498">
        <f>IF(ISNUMBER(Capability!C503),Capability!C503,NA())</f>
        <v/>
      </c>
      <c r="G498">
        <f>Capability!$F$7</f>
        <v/>
      </c>
      <c r="H498">
        <f>(1+3*0.8525/1.128379)*Capability!$F$7</f>
        <v/>
      </c>
      <c r="I498">
        <f>IF(ISNUMBER(B498),IF(OR(B498&gt;D498,B498&lt;E498),"OUT",""),"")</f>
        <v/>
      </c>
    </row>
    <row r="499">
      <c r="A499" t="n">
        <v>495</v>
      </c>
      <c r="B499">
        <f>IF(ISNUMBER(Capability!B504),Capability!B504,NA())</f>
        <v/>
      </c>
      <c r="C499">
        <f>Capability!$F$5</f>
        <v/>
      </c>
      <c r="D499">
        <f>Capability!$F$5+3*Capability!$F$8</f>
        <v/>
      </c>
      <c r="E499">
        <f>Capability!$F$5-3*Capability!$F$8</f>
        <v/>
      </c>
      <c r="F499">
        <f>IF(ISNUMBER(Capability!C504),Capability!C504,NA())</f>
        <v/>
      </c>
      <c r="G499">
        <f>Capability!$F$7</f>
        <v/>
      </c>
      <c r="H499">
        <f>(1+3*0.8525/1.128379)*Capability!$F$7</f>
        <v/>
      </c>
      <c r="I499">
        <f>IF(ISNUMBER(B499),IF(OR(B499&gt;D499,B499&lt;E499),"OUT",""),"")</f>
        <v/>
      </c>
    </row>
    <row r="500">
      <c r="A500" t="n">
        <v>496</v>
      </c>
      <c r="B500">
        <f>IF(ISNUMBER(Capability!B505),Capability!B505,NA())</f>
        <v/>
      </c>
      <c r="C500">
        <f>Capability!$F$5</f>
        <v/>
      </c>
      <c r="D500">
        <f>Capability!$F$5+3*Capability!$F$8</f>
        <v/>
      </c>
      <c r="E500">
        <f>Capability!$F$5-3*Capability!$F$8</f>
        <v/>
      </c>
      <c r="F500">
        <f>IF(ISNUMBER(Capability!C505),Capability!C505,NA())</f>
        <v/>
      </c>
      <c r="G500">
        <f>Capability!$F$7</f>
        <v/>
      </c>
      <c r="H500">
        <f>(1+3*0.8525/1.128379)*Capability!$F$7</f>
        <v/>
      </c>
      <c r="I500">
        <f>IF(ISNUMBER(B500),IF(OR(B500&gt;D500,B500&lt;E500),"OUT",""),"")</f>
        <v/>
      </c>
    </row>
    <row r="501">
      <c r="A501" t="n">
        <v>497</v>
      </c>
      <c r="B501">
        <f>IF(ISNUMBER(Capability!B506),Capability!B506,NA())</f>
        <v/>
      </c>
      <c r="C501">
        <f>Capability!$F$5</f>
        <v/>
      </c>
      <c r="D501">
        <f>Capability!$F$5+3*Capability!$F$8</f>
        <v/>
      </c>
      <c r="E501">
        <f>Capability!$F$5-3*Capability!$F$8</f>
        <v/>
      </c>
      <c r="F501">
        <f>IF(ISNUMBER(Capability!C506),Capability!C506,NA())</f>
        <v/>
      </c>
      <c r="G501">
        <f>Capability!$F$7</f>
        <v/>
      </c>
      <c r="H501">
        <f>(1+3*0.8525/1.128379)*Capability!$F$7</f>
        <v/>
      </c>
      <c r="I501">
        <f>IF(ISNUMBER(B501),IF(OR(B501&gt;D501,B501&lt;E501),"OUT",""),"")</f>
        <v/>
      </c>
    </row>
    <row r="502">
      <c r="A502" t="n">
        <v>498</v>
      </c>
      <c r="B502">
        <f>IF(ISNUMBER(Capability!B507),Capability!B507,NA())</f>
        <v/>
      </c>
      <c r="C502">
        <f>Capability!$F$5</f>
        <v/>
      </c>
      <c r="D502">
        <f>Capability!$F$5+3*Capability!$F$8</f>
        <v/>
      </c>
      <c r="E502">
        <f>Capability!$F$5-3*Capability!$F$8</f>
        <v/>
      </c>
      <c r="F502">
        <f>IF(ISNUMBER(Capability!C507),Capability!C507,NA())</f>
        <v/>
      </c>
      <c r="G502">
        <f>Capability!$F$7</f>
        <v/>
      </c>
      <c r="H502">
        <f>(1+3*0.8525/1.128379)*Capability!$F$7</f>
        <v/>
      </c>
      <c r="I502">
        <f>IF(ISNUMBER(B502),IF(OR(B502&gt;D502,B502&lt;E502),"OUT",""),"")</f>
        <v/>
      </c>
    </row>
    <row r="503">
      <c r="A503" t="n">
        <v>499</v>
      </c>
      <c r="B503">
        <f>IF(ISNUMBER(Capability!B508),Capability!B508,NA())</f>
        <v/>
      </c>
      <c r="C503">
        <f>Capability!$F$5</f>
        <v/>
      </c>
      <c r="D503">
        <f>Capability!$F$5+3*Capability!$F$8</f>
        <v/>
      </c>
      <c r="E503">
        <f>Capability!$F$5-3*Capability!$F$8</f>
        <v/>
      </c>
      <c r="F503">
        <f>IF(ISNUMBER(Capability!C508),Capability!C508,NA())</f>
        <v/>
      </c>
      <c r="G503">
        <f>Capability!$F$7</f>
        <v/>
      </c>
      <c r="H503">
        <f>(1+3*0.8525/1.128379)*Capability!$F$7</f>
        <v/>
      </c>
      <c r="I503">
        <f>IF(ISNUMBER(B503),IF(OR(B503&gt;D503,B503&lt;E503),"OUT",""),"")</f>
        <v/>
      </c>
    </row>
    <row r="504">
      <c r="A504" t="n">
        <v>500</v>
      </c>
      <c r="B504">
        <f>IF(ISNUMBER(Capability!B509),Capability!B509,NA())</f>
        <v/>
      </c>
      <c r="C504">
        <f>Capability!$F$5</f>
        <v/>
      </c>
      <c r="D504">
        <f>Capability!$F$5+3*Capability!$F$8</f>
        <v/>
      </c>
      <c r="E504">
        <f>Capability!$F$5-3*Capability!$F$8</f>
        <v/>
      </c>
      <c r="F504">
        <f>IF(ISNUMBER(Capability!C509),Capability!C509,NA())</f>
        <v/>
      </c>
      <c r="G504">
        <f>Capability!$F$7</f>
        <v/>
      </c>
      <c r="H504">
        <f>(1+3*0.8525/1.128379)*Capability!$F$7</f>
        <v/>
      </c>
      <c r="I504">
        <f>IF(ISNUMBER(B504),IF(OR(B504&gt;D504,B504&lt;E504),"OUT",""),"")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