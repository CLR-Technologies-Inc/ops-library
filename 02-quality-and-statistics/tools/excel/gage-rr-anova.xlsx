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e R&amp;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00000"/>
    <numFmt numFmtId="167" formatCode="0.000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0" pivotButton="0" quotePrefix="0" xfId="0"/>
    <xf numFmtId="0" fontId="4" fillId="0" borderId="0" pivotButton="0" quotePrefix="0" xfId="0"/>
    <xf numFmtId="164" fontId="0" fillId="3" borderId="1" pivotButton="0" quotePrefix="0" xfId="0"/>
    <xf numFmtId="2" fontId="0" fillId="3" borderId="1" pivotButton="0" quotePrefix="0" xfId="0"/>
    <xf numFmtId="1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49" fontId="0" fillId="4" borderId="1" pivotButton="0" quotePrefix="0" xfId="0"/>
    <xf numFmtId="2" fontId="0" fillId="0" borderId="1" pivotButton="0" quotePrefix="0" xfId="0"/>
    <xf numFmtId="2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1" customWidth="1" min="4" max="4"/>
    <col width="9" customWidth="1" min="6" max="6"/>
    <col width="11" customWidth="1" min="7" max="7"/>
    <col width="11" customWidth="1" min="8" max="8"/>
    <col width="13" customWidth="1" min="9" max="9"/>
    <col width="32" customWidth="1" min="11" max="11"/>
    <col width="12" customWidth="1" min="12" max="12"/>
    <col width="13" customWidth="1" min="13" max="13"/>
    <col width="12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Gauge R&amp;R Study, ANOVA Method (crossed)</t>
        </is>
      </c>
    </row>
    <row r="2">
      <c r="A2" s="2" t="inlineStr">
        <is>
          <t>Enter part, operator and measurement in columns A to C (balanced study: every operator measures every part the same number of times). List the part and operator IDs in F and H.</t>
        </is>
      </c>
    </row>
    <row r="4">
      <c r="A4" s="3" t="inlineStr">
        <is>
          <t>Part</t>
        </is>
      </c>
      <c r="B4" s="3" t="inlineStr">
        <is>
          <t>Operator</t>
        </is>
      </c>
      <c r="C4" s="3" t="inlineStr">
        <is>
          <t>Measurement</t>
        </is>
      </c>
      <c r="D4" s="3" t="inlineStr">
        <is>
          <t>Cell mean</t>
        </is>
      </c>
      <c r="F4" s="3" t="inlineStr">
        <is>
          <t>Part ID</t>
        </is>
      </c>
      <c r="G4" s="3" t="inlineStr">
        <is>
          <t>Part mean</t>
        </is>
      </c>
      <c r="H4" s="3" t="inlineStr">
        <is>
          <t>Operator ID</t>
        </is>
      </c>
      <c r="I4" s="3" t="inlineStr">
        <is>
          <t>Operator mean</t>
        </is>
      </c>
    </row>
    <row r="5">
      <c r="A5" s="4" t="n">
        <v>1</v>
      </c>
      <c r="B5" s="4" t="inlineStr">
        <is>
          <t>A</t>
        </is>
      </c>
      <c r="C5" s="4" t="n">
        <v>5.167</v>
      </c>
      <c r="D5">
        <f>IF(ISNUMBER(C5),AVERAGEIFS($C$5:$C$504,$A$5:$A$504,A5,$B$5:$B$504,B5),"")</f>
        <v/>
      </c>
      <c r="F5" s="4" t="n">
        <v>1</v>
      </c>
      <c r="G5">
        <f>IF(F5="","",AVERAGEIF($A$5:$A$504,F5,$C$5:$C$504))</f>
        <v/>
      </c>
      <c r="H5" s="4" t="inlineStr">
        <is>
          <t>A</t>
        </is>
      </c>
      <c r="I5">
        <f>IF(H5="","",AVERAGEIF($B$5:$B$504,H5,$C$5:$C$504))</f>
        <v/>
      </c>
      <c r="K5" s="5" t="inlineStr">
        <is>
          <t>Tolerance (USL - LSL)</t>
        </is>
      </c>
      <c r="L5" s="6" t="n">
        <v>4</v>
      </c>
    </row>
    <row r="6">
      <c r="A6" s="4" t="n">
        <v>1</v>
      </c>
      <c r="B6" s="4" t="inlineStr">
        <is>
          <t>A</t>
        </is>
      </c>
      <c r="C6" s="4" t="n">
        <v>5.137</v>
      </c>
      <c r="D6">
        <f>IF(ISNUMBER(C6),AVERAGEIFS($C$5:$C$504,$A$5:$A$504,A6,$B$5:$B$504,B6),"")</f>
        <v/>
      </c>
      <c r="F6" s="4" t="n">
        <v>2</v>
      </c>
      <c r="G6">
        <f>IF(F6="","",AVERAGEIF($A$5:$A$504,F6,$C$5:$C$504))</f>
        <v/>
      </c>
      <c r="H6" s="4" t="inlineStr">
        <is>
          <t>B</t>
        </is>
      </c>
      <c r="I6">
        <f>IF(H6="","",AVERAGEIF($B$5:$B$504,H6,$C$5:$C$504))</f>
        <v/>
      </c>
      <c r="K6" s="5" t="inlineStr">
        <is>
          <t>Study multiplier (6 = 99.73%)</t>
        </is>
      </c>
      <c r="L6" s="7" t="n">
        <v>6</v>
      </c>
    </row>
    <row r="7">
      <c r="A7" s="4" t="n">
        <v>1</v>
      </c>
      <c r="B7" s="4" t="inlineStr">
        <is>
          <t>A</t>
        </is>
      </c>
      <c r="C7" s="4" t="n">
        <v>5.234</v>
      </c>
      <c r="D7">
        <f>IF(ISNUMBER(C7),AVERAGEIFS($C$5:$C$504,$A$5:$A$504,A7,$B$5:$B$504,B7),"")</f>
        <v/>
      </c>
      <c r="F7" s="4" t="n">
        <v>3</v>
      </c>
      <c r="G7">
        <f>IF(F7="","",AVERAGEIF($A$5:$A$504,F7,$C$5:$C$504))</f>
        <v/>
      </c>
      <c r="H7" s="4" t="inlineStr">
        <is>
          <t>C</t>
        </is>
      </c>
      <c r="I7">
        <f>IF(H7="","",AVERAGEIF($B$5:$B$504,H7,$C$5:$C$504))</f>
        <v/>
      </c>
      <c r="K7" s="5" t="inlineStr">
        <is>
          <t>Parts (p)</t>
        </is>
      </c>
      <c r="L7" s="8">
        <f>COUNTA(F5:F34)</f>
        <v/>
      </c>
    </row>
    <row r="8">
      <c r="A8" s="4" t="n">
        <v>1</v>
      </c>
      <c r="B8" s="4" t="inlineStr">
        <is>
          <t>B</t>
        </is>
      </c>
      <c r="C8" s="4" t="n">
        <v>5.307</v>
      </c>
      <c r="D8">
        <f>IF(ISNUMBER(C8),AVERAGEIFS($C$5:$C$504,$A$5:$A$504,A8,$B$5:$B$504,B8),"")</f>
        <v/>
      </c>
      <c r="F8" s="4" t="n">
        <v>4</v>
      </c>
      <c r="G8">
        <f>IF(F8="","",AVERAGEIF($A$5:$A$504,F8,$C$5:$C$504))</f>
        <v/>
      </c>
      <c r="H8" s="4" t="n"/>
      <c r="I8">
        <f>IF(H8="","",AVERAGEIF($B$5:$B$504,H8,$C$5:$C$504))</f>
        <v/>
      </c>
      <c r="K8" s="5" t="inlineStr">
        <is>
          <t>Operators (o)</t>
        </is>
      </c>
      <c r="L8" s="8">
        <f>COUNTA(H5:H14)</f>
        <v/>
      </c>
    </row>
    <row r="9">
      <c r="A9" s="4" t="n">
        <v>1</v>
      </c>
      <c r="B9" s="4" t="inlineStr">
        <is>
          <t>B</t>
        </is>
      </c>
      <c r="C9" s="4" t="n">
        <v>5.255</v>
      </c>
      <c r="D9">
        <f>IF(ISNUMBER(C9),AVERAGEIFS($C$5:$C$504,$A$5:$A$504,A9,$B$5:$B$504,B9),"")</f>
        <v/>
      </c>
      <c r="F9" s="4" t="n">
        <v>5</v>
      </c>
      <c r="G9">
        <f>IF(F9="","",AVERAGEIF($A$5:$A$504,F9,$C$5:$C$504))</f>
        <v/>
      </c>
      <c r="H9" s="4" t="n"/>
      <c r="I9">
        <f>IF(H9="","",AVERAGEIF($B$5:$B$504,H9,$C$5:$C$504))</f>
        <v/>
      </c>
      <c r="K9" s="5" t="inlineStr">
        <is>
          <t>Trials (r)</t>
        </is>
      </c>
      <c r="L9" s="8">
        <f>COUNT($C$5:$C$504)/(L7*L8)</f>
        <v/>
      </c>
    </row>
    <row r="10">
      <c r="A10" s="4" t="n">
        <v>1</v>
      </c>
      <c r="B10" s="4" t="inlineStr">
        <is>
          <t>B</t>
        </is>
      </c>
      <c r="C10" s="4" t="n">
        <v>5.332</v>
      </c>
      <c r="D10">
        <f>IF(ISNUMBER(C10),AVERAGEIFS($C$5:$C$504,$A$5:$A$504,A10,$B$5:$B$504,B10),"")</f>
        <v/>
      </c>
      <c r="F10" s="4" t="n">
        <v>6</v>
      </c>
      <c r="G10">
        <f>IF(F10="","",AVERAGEIF($A$5:$A$504,F10,$C$5:$C$504))</f>
        <v/>
      </c>
      <c r="H10" s="4" t="n"/>
      <c r="I10">
        <f>IF(H10="","",AVERAGEIF($B$5:$B$504,H10,$C$5:$C$504))</f>
        <v/>
      </c>
      <c r="K10" s="5" t="inlineStr">
        <is>
          <t>Grand mean</t>
        </is>
      </c>
      <c r="L10" s="9">
        <f>AVERAGE($C$5:$C$504)</f>
        <v/>
      </c>
    </row>
    <row r="11">
      <c r="A11" s="4" t="n">
        <v>1</v>
      </c>
      <c r="B11" s="4" t="inlineStr">
        <is>
          <t>C</t>
        </is>
      </c>
      <c r="C11" s="4" t="n">
        <v>5.099</v>
      </c>
      <c r="D11">
        <f>IF(ISNUMBER(C11),AVERAGEIFS($C$5:$C$504,$A$5:$A$504,A11,$B$5:$B$504,B11),"")</f>
        <v/>
      </c>
      <c r="F11" s="4" t="n">
        <v>7</v>
      </c>
      <c r="G11">
        <f>IF(F11="","",AVERAGEIF($A$5:$A$504,F11,$C$5:$C$504))</f>
        <v/>
      </c>
      <c r="H11" s="4" t="n"/>
      <c r="I11">
        <f>IF(H11="","",AVERAGEIF($B$5:$B$504,H11,$C$5:$C$504))</f>
        <v/>
      </c>
      <c r="K11" s="5" t="inlineStr">
        <is>
          <t>SS total</t>
        </is>
      </c>
      <c r="L11" s="10">
        <f>DEVSQ($C$5:$C$504)</f>
        <v/>
      </c>
    </row>
    <row r="12">
      <c r="A12" s="4" t="n">
        <v>1</v>
      </c>
      <c r="B12" s="4" t="inlineStr">
        <is>
          <t>C</t>
        </is>
      </c>
      <c r="C12" s="4" t="n">
        <v>5.107</v>
      </c>
      <c r="D12">
        <f>IF(ISNUMBER(C12),AVERAGEIFS($C$5:$C$504,$A$5:$A$504,A12,$B$5:$B$504,B12),"")</f>
        <v/>
      </c>
      <c r="F12" s="4" t="n">
        <v>8</v>
      </c>
      <c r="G12">
        <f>IF(F12="","",AVERAGEIF($A$5:$A$504,F12,$C$5:$C$504))</f>
        <v/>
      </c>
      <c r="H12" s="4" t="n"/>
      <c r="I12">
        <f>IF(H12="","",AVERAGEIF($B$5:$B$504,H12,$C$5:$C$504))</f>
        <v/>
      </c>
      <c r="K12" s="5" t="inlineStr">
        <is>
          <t>SS part</t>
        </is>
      </c>
      <c r="L12" s="10">
        <f>L8*L9*DEVSQ(G5:G34)+L8*L9*COUNT(G5:G34)*(AVERAGE(G5:G34)-L10)^2</f>
        <v/>
      </c>
    </row>
    <row r="13">
      <c r="A13" s="4" t="n">
        <v>1</v>
      </c>
      <c r="B13" s="4" t="inlineStr">
        <is>
          <t>C</t>
        </is>
      </c>
      <c r="C13" s="4" t="n">
        <v>5.094</v>
      </c>
      <c r="D13">
        <f>IF(ISNUMBER(C13),AVERAGEIFS($C$5:$C$504,$A$5:$A$504,A13,$B$5:$B$504,B13),"")</f>
        <v/>
      </c>
      <c r="F13" s="4" t="n">
        <v>9</v>
      </c>
      <c r="G13">
        <f>IF(F13="","",AVERAGEIF($A$5:$A$504,F13,$C$5:$C$504))</f>
        <v/>
      </c>
      <c r="H13" s="4" t="n"/>
      <c r="I13">
        <f>IF(H13="","",AVERAGEIF($B$5:$B$504,H13,$C$5:$C$504))</f>
        <v/>
      </c>
      <c r="K13" s="5" t="inlineStr">
        <is>
          <t>SS operator</t>
        </is>
      </c>
      <c r="L13" s="10">
        <f>L7*L9*DEVSQ(I5:I14)+L7*L9*COUNT(I5:I14)*(AVERAGE(I5:I14)-L10)^2</f>
        <v/>
      </c>
    </row>
    <row r="14">
      <c r="A14" s="4" t="n">
        <v>2</v>
      </c>
      <c r="B14" s="4" t="inlineStr">
        <is>
          <t>A</t>
        </is>
      </c>
      <c r="C14" s="4" t="n">
        <v>5.169</v>
      </c>
      <c r="D14">
        <f>IF(ISNUMBER(C14),AVERAGEIFS($C$5:$C$504,$A$5:$A$504,A14,$B$5:$B$504,B14),"")</f>
        <v/>
      </c>
      <c r="F14" s="4" t="n">
        <v>10</v>
      </c>
      <c r="G14">
        <f>IF(F14="","",AVERAGEIF($A$5:$A$504,F14,$C$5:$C$504))</f>
        <v/>
      </c>
      <c r="H14" s="4" t="n"/>
      <c r="I14">
        <f>IF(H14="","",AVERAGEIF($B$5:$B$504,H14,$C$5:$C$504))</f>
        <v/>
      </c>
      <c r="K14" s="5" t="inlineStr">
        <is>
          <t>SS cells (part x operator means)</t>
        </is>
      </c>
      <c r="L14" s="10">
        <f>DEVSQ($D$5:$D$504)+COUNT($D$5:$D$504)*(AVERAGE($D$5:$D$504)-L10)^2</f>
        <v/>
      </c>
    </row>
    <row r="15">
      <c r="A15" s="4" t="n">
        <v>2</v>
      </c>
      <c r="B15" s="4" t="inlineStr">
        <is>
          <t>A</t>
        </is>
      </c>
      <c r="C15" s="4" t="n">
        <v>5.109</v>
      </c>
      <c r="D15">
        <f>IF(ISNUMBER(C15),AVERAGEIFS($C$5:$C$504,$A$5:$A$504,A15,$B$5:$B$504,B15),"")</f>
        <v/>
      </c>
      <c r="F15" s="4" t="n"/>
      <c r="G15">
        <f>IF(F15="","",AVERAGEIF($A$5:$A$504,F15,$C$5:$C$504))</f>
        <v/>
      </c>
      <c r="K15" s="5" t="inlineStr">
        <is>
          <t>SS part x operator</t>
        </is>
      </c>
      <c r="L15" s="10">
        <f>L14-L12-L13</f>
        <v/>
      </c>
    </row>
    <row r="16">
      <c r="A16" s="4" t="n">
        <v>2</v>
      </c>
      <c r="B16" s="4" t="inlineStr">
        <is>
          <t>A</t>
        </is>
      </c>
      <c r="C16" s="4" t="n">
        <v>5.118</v>
      </c>
      <c r="D16">
        <f>IF(ISNUMBER(C16),AVERAGEIFS($C$5:$C$504,$A$5:$A$504,A16,$B$5:$B$504,B16),"")</f>
        <v/>
      </c>
      <c r="F16" s="4" t="n"/>
      <c r="G16">
        <f>IF(F16="","",AVERAGEIF($A$5:$A$504,F16,$C$5:$C$504))</f>
        <v/>
      </c>
      <c r="K16" s="5" t="inlineStr">
        <is>
          <t>SS repeatability</t>
        </is>
      </c>
      <c r="L16" s="10">
        <f>L11-L14</f>
        <v/>
      </c>
    </row>
    <row r="17">
      <c r="A17" s="4" t="n">
        <v>2</v>
      </c>
      <c r="B17" s="4" t="inlineStr">
        <is>
          <t>B</t>
        </is>
      </c>
      <c r="C17" s="4" t="n">
        <v>5.16</v>
      </c>
      <c r="D17">
        <f>IF(ISNUMBER(C17),AVERAGEIFS($C$5:$C$504,$A$5:$A$504,A17,$B$5:$B$504,B17),"")</f>
        <v/>
      </c>
      <c r="F17" s="4" t="n"/>
      <c r="G17">
        <f>IF(F17="","",AVERAGEIF($A$5:$A$504,F17,$C$5:$C$504))</f>
        <v/>
      </c>
    </row>
    <row r="18">
      <c r="A18" s="4" t="n">
        <v>2</v>
      </c>
      <c r="B18" s="4" t="inlineStr">
        <is>
          <t>B</t>
        </is>
      </c>
      <c r="C18" s="4" t="n">
        <v>5.091</v>
      </c>
      <c r="D18">
        <f>IF(ISNUMBER(C18),AVERAGEIFS($C$5:$C$504,$A$5:$A$504,A18,$B$5:$B$504,B18),"")</f>
        <v/>
      </c>
      <c r="F18" s="4" t="n"/>
      <c r="G18">
        <f>IF(F18="","",AVERAGEIF($A$5:$A$504,F18,$C$5:$C$504))</f>
        <v/>
      </c>
    </row>
    <row r="19">
      <c r="A19" s="4" t="n">
        <v>2</v>
      </c>
      <c r="B19" s="4" t="inlineStr">
        <is>
          <t>B</t>
        </is>
      </c>
      <c r="C19" s="4" t="n">
        <v>5.115</v>
      </c>
      <c r="D19">
        <f>IF(ISNUMBER(C19),AVERAGEIFS($C$5:$C$504,$A$5:$A$504,A19,$B$5:$B$504,B19),"")</f>
        <v/>
      </c>
      <c r="F19" s="4" t="n"/>
      <c r="G19">
        <f>IF(F19="","",AVERAGEIF($A$5:$A$504,F19,$C$5:$C$504))</f>
        <v/>
      </c>
      <c r="K19" s="3" t="inlineStr">
        <is>
          <t>Source</t>
        </is>
      </c>
      <c r="L19" s="3" t="inlineStr">
        <is>
          <t>DF</t>
        </is>
      </c>
      <c r="M19" s="3" t="inlineStr">
        <is>
          <t>SS</t>
        </is>
      </c>
      <c r="N19" s="3" t="inlineStr">
        <is>
          <t>MS</t>
        </is>
      </c>
      <c r="O19" s="3" t="inlineStr">
        <is>
          <t>F</t>
        </is>
      </c>
      <c r="P19" s="3" t="inlineStr">
        <is>
          <t>p</t>
        </is>
      </c>
    </row>
    <row r="20">
      <c r="A20" s="4" t="n">
        <v>2</v>
      </c>
      <c r="B20" s="4" t="inlineStr">
        <is>
          <t>C</t>
        </is>
      </c>
      <c r="C20" s="4" t="n">
        <v>5.113</v>
      </c>
      <c r="D20">
        <f>IF(ISNUMBER(C20),AVERAGEIFS($C$5:$C$504,$A$5:$A$504,A20,$B$5:$B$504,B20),"")</f>
        <v/>
      </c>
      <c r="F20" s="4" t="n"/>
      <c r="G20">
        <f>IF(F20="","",AVERAGEIF($A$5:$A$504,F20,$C$5:$C$504))</f>
        <v/>
      </c>
      <c r="K20" s="11" t="inlineStr">
        <is>
          <t>Part</t>
        </is>
      </c>
      <c r="L20" s="11">
        <f>L7-1</f>
        <v/>
      </c>
      <c r="M20" s="12">
        <f>L12</f>
        <v/>
      </c>
      <c r="N20" s="12">
        <f>M20/L20</f>
        <v/>
      </c>
      <c r="O20" s="12">
        <f>N20/N22</f>
        <v/>
      </c>
      <c r="P20" s="13">
        <f>FDIST(O20,L20,L22)</f>
        <v/>
      </c>
    </row>
    <row r="21">
      <c r="A21" s="4" t="n">
        <v>2</v>
      </c>
      <c r="B21" s="4" t="inlineStr">
        <is>
          <t>C</t>
        </is>
      </c>
      <c r="C21" s="4" t="n">
        <v>5.03</v>
      </c>
      <c r="D21">
        <f>IF(ISNUMBER(C21),AVERAGEIFS($C$5:$C$504,$A$5:$A$504,A21,$B$5:$B$504,B21),"")</f>
        <v/>
      </c>
      <c r="F21" s="4" t="n"/>
      <c r="G21">
        <f>IF(F21="","",AVERAGEIF($A$5:$A$504,F21,$C$5:$C$504))</f>
        <v/>
      </c>
      <c r="K21" s="11" t="inlineStr">
        <is>
          <t>Operator</t>
        </is>
      </c>
      <c r="L21" s="11">
        <f>L8-1</f>
        <v/>
      </c>
      <c r="M21" s="12">
        <f>L13</f>
        <v/>
      </c>
      <c r="N21" s="12">
        <f>M21/L21</f>
        <v/>
      </c>
      <c r="O21" s="12">
        <f>N21/N22</f>
        <v/>
      </c>
      <c r="P21" s="13">
        <f>FDIST(O21,L21,L22)</f>
        <v/>
      </c>
    </row>
    <row r="22">
      <c r="A22" s="4" t="n">
        <v>2</v>
      </c>
      <c r="B22" s="4" t="inlineStr">
        <is>
          <t>C</t>
        </is>
      </c>
      <c r="C22" s="4" t="n">
        <v>5.062</v>
      </c>
      <c r="D22">
        <f>IF(ISNUMBER(C22),AVERAGEIFS($C$5:$C$504,$A$5:$A$504,A22,$B$5:$B$504,B22),"")</f>
        <v/>
      </c>
      <c r="F22" s="4" t="n"/>
      <c r="G22">
        <f>IF(F22="","",AVERAGEIF($A$5:$A$504,F22,$C$5:$C$504))</f>
        <v/>
      </c>
      <c r="K22" s="11" t="inlineStr">
        <is>
          <t>Part x Operator</t>
        </is>
      </c>
      <c r="L22" s="11">
        <f>L20*L21</f>
        <v/>
      </c>
      <c r="M22" s="12">
        <f>L15</f>
        <v/>
      </c>
      <c r="N22" s="12">
        <f>M22/L22</f>
        <v/>
      </c>
      <c r="O22" s="12">
        <f>N22/N23</f>
        <v/>
      </c>
      <c r="P22" s="13">
        <f>FDIST(O22,L22,L23)</f>
        <v/>
      </c>
    </row>
    <row r="23">
      <c r="A23" s="4" t="n">
        <v>3</v>
      </c>
      <c r="B23" s="4" t="inlineStr">
        <is>
          <t>A</t>
        </is>
      </c>
      <c r="C23" s="4" t="n">
        <v>5.276</v>
      </c>
      <c r="D23">
        <f>IF(ISNUMBER(C23),AVERAGEIFS($C$5:$C$504,$A$5:$A$504,A23,$B$5:$B$504,B23),"")</f>
        <v/>
      </c>
      <c r="F23" s="4" t="n"/>
      <c r="G23">
        <f>IF(F23="","",AVERAGEIF($A$5:$A$504,F23,$C$5:$C$504))</f>
        <v/>
      </c>
      <c r="K23" s="11" t="inlineStr">
        <is>
          <t>Repeatability</t>
        </is>
      </c>
      <c r="L23" s="11">
        <f>L7*L8*(L9-1)</f>
        <v/>
      </c>
      <c r="M23" s="12">
        <f>L16</f>
        <v/>
      </c>
      <c r="N23" s="12">
        <f>M23/L23</f>
        <v/>
      </c>
      <c r="O23" s="12" t="inlineStr"/>
      <c r="P23" s="13" t="inlineStr"/>
    </row>
    <row r="24">
      <c r="A24" s="4" t="n">
        <v>3</v>
      </c>
      <c r="B24" s="4" t="inlineStr">
        <is>
          <t>A</t>
        </is>
      </c>
      <c r="C24" s="4" t="n">
        <v>5.346</v>
      </c>
      <c r="D24">
        <f>IF(ISNUMBER(C24),AVERAGEIFS($C$5:$C$504,$A$5:$A$504,A24,$B$5:$B$504,B24),"")</f>
        <v/>
      </c>
      <c r="F24" s="4" t="n"/>
      <c r="G24">
        <f>IF(F24="","",AVERAGEIF($A$5:$A$504,F24,$C$5:$C$504))</f>
        <v/>
      </c>
      <c r="K24" s="11" t="inlineStr">
        <is>
          <t>Total</t>
        </is>
      </c>
      <c r="L24" s="11">
        <f>L7*L8*L9-1</f>
        <v/>
      </c>
      <c r="M24" s="12">
        <f>L11</f>
        <v/>
      </c>
      <c r="N24" s="12" t="inlineStr"/>
      <c r="O24" s="12" t="inlineStr"/>
      <c r="P24" s="13" t="inlineStr"/>
    </row>
    <row r="25">
      <c r="A25" s="4" t="n">
        <v>3</v>
      </c>
      <c r="B25" s="4" t="inlineStr">
        <is>
          <t>A</t>
        </is>
      </c>
      <c r="C25" s="4" t="n">
        <v>5.407</v>
      </c>
      <c r="D25">
        <f>IF(ISNUMBER(C25),AVERAGEIFS($C$5:$C$504,$A$5:$A$504,A25,$B$5:$B$504,B25),"")</f>
        <v/>
      </c>
      <c r="F25" s="4" t="n"/>
      <c r="G25">
        <f>IF(F25="","",AVERAGEIF($A$5:$A$504,F25,$C$5:$C$504))</f>
        <v/>
      </c>
    </row>
    <row r="26">
      <c r="A26" s="4" t="n">
        <v>3</v>
      </c>
      <c r="B26" s="4" t="inlineStr">
        <is>
          <t>B</t>
        </is>
      </c>
      <c r="C26" s="4" t="n">
        <v>5.568</v>
      </c>
      <c r="D26">
        <f>IF(ISNUMBER(C26),AVERAGEIFS($C$5:$C$504,$A$5:$A$504,A26,$B$5:$B$504,B26),"")</f>
        <v/>
      </c>
      <c r="F26" s="4" t="n"/>
      <c r="G26">
        <f>IF(F26="","",AVERAGEIF($A$5:$A$504,F26,$C$5:$C$504))</f>
        <v/>
      </c>
      <c r="K26" s="5" t="inlineStr">
        <is>
          <t>Pool interaction? (p &gt; 0.25)</t>
        </is>
      </c>
      <c r="L26" s="14">
        <f>IF(P22&gt;0.25,"Yes","No")</f>
        <v/>
      </c>
    </row>
    <row r="27">
      <c r="A27" s="4" t="n">
        <v>3</v>
      </c>
      <c r="B27" s="4" t="inlineStr">
        <is>
          <t>B</t>
        </is>
      </c>
      <c r="C27" s="4" t="n">
        <v>5.401</v>
      </c>
      <c r="D27">
        <f>IF(ISNUMBER(C27),AVERAGEIFS($C$5:$C$504,$A$5:$A$504,A27,$B$5:$B$504,B27),"")</f>
        <v/>
      </c>
      <c r="F27" s="4" t="n"/>
      <c r="G27">
        <f>IF(F27="","",AVERAGEIF($A$5:$A$504,F27,$C$5:$C$504))</f>
        <v/>
      </c>
      <c r="K27" s="5" t="inlineStr">
        <is>
          <t>MS used for repeatability</t>
        </is>
      </c>
      <c r="L27" s="10">
        <f>IF(L26="Yes",(M22+M23)/(L22+L23),N23)</f>
        <v/>
      </c>
    </row>
    <row r="28">
      <c r="A28" s="4" t="n">
        <v>3</v>
      </c>
      <c r="B28" s="4" t="inlineStr">
        <is>
          <t>B</t>
        </is>
      </c>
      <c r="C28" s="4" t="n">
        <v>5.465</v>
      </c>
      <c r="D28">
        <f>IF(ISNUMBER(C28),AVERAGEIFS($C$5:$C$504,$A$5:$A$504,A28,$B$5:$B$504,B28),"")</f>
        <v/>
      </c>
      <c r="F28" s="4" t="n"/>
      <c r="G28">
        <f>IF(F28="","",AVERAGEIF($A$5:$A$504,F28,$C$5:$C$504))</f>
        <v/>
      </c>
    </row>
    <row r="29">
      <c r="A29" s="4" t="n">
        <v>3</v>
      </c>
      <c r="B29" s="4" t="inlineStr">
        <is>
          <t>C</t>
        </is>
      </c>
      <c r="C29" s="4" t="n">
        <v>5.413</v>
      </c>
      <c r="D29">
        <f>IF(ISNUMBER(C29),AVERAGEIFS($C$5:$C$504,$A$5:$A$504,A29,$B$5:$B$504,B29),"")</f>
        <v/>
      </c>
      <c r="F29" s="4" t="n"/>
      <c r="G29">
        <f>IF(F29="","",AVERAGEIF($A$5:$A$504,F29,$C$5:$C$504))</f>
        <v/>
      </c>
      <c r="K29" s="3" t="inlineStr">
        <is>
          <t>Source</t>
        </is>
      </c>
      <c r="L29" s="3" t="inlineStr">
        <is>
          <t>Variance</t>
        </is>
      </c>
      <c r="M29" s="3" t="inlineStr">
        <is>
          <t>% Contribution</t>
        </is>
      </c>
      <c r="N29" s="3" t="inlineStr">
        <is>
          <t>Std dev</t>
        </is>
      </c>
      <c r="O29" s="3" t="inlineStr">
        <is>
          <t>Study var</t>
        </is>
      </c>
      <c r="P29" s="3" t="inlineStr">
        <is>
          <t>% Study var</t>
        </is>
      </c>
      <c r="Q29" s="3" t="inlineStr">
        <is>
          <t>% Tolerance</t>
        </is>
      </c>
    </row>
    <row r="30">
      <c r="A30" s="4" t="n">
        <v>3</v>
      </c>
      <c r="B30" s="4" t="inlineStr">
        <is>
          <t>C</t>
        </is>
      </c>
      <c r="C30" s="4" t="n">
        <v>5.286</v>
      </c>
      <c r="D30">
        <f>IF(ISNUMBER(C30),AVERAGEIFS($C$5:$C$504,$A$5:$A$504,A30,$B$5:$B$504,B30),"")</f>
        <v/>
      </c>
      <c r="F30" s="4" t="n"/>
      <c r="G30">
        <f>IF(F30="","",AVERAGEIF($A$5:$A$504,F30,$C$5:$C$504))</f>
        <v/>
      </c>
      <c r="K30" s="15" t="inlineStr">
        <is>
          <t>Total Gage R&amp;R</t>
        </is>
      </c>
      <c r="L30" s="10">
        <f>L31+L32</f>
        <v/>
      </c>
      <c r="M30" s="16">
        <f>100*L30/$L$36</f>
        <v/>
      </c>
      <c r="N30" s="10">
        <f>SQRT(L30)</f>
        <v/>
      </c>
      <c r="O30" s="10">
        <f>$L$6*N30</f>
        <v/>
      </c>
      <c r="P30" s="16">
        <f>100*N30/$N$36</f>
        <v/>
      </c>
      <c r="Q30" s="16">
        <f>100*O30/$L$5</f>
        <v/>
      </c>
    </row>
    <row r="31">
      <c r="A31" s="4" t="n">
        <v>3</v>
      </c>
      <c r="B31" s="4" t="inlineStr">
        <is>
          <t>C</t>
        </is>
      </c>
      <c r="C31" s="4" t="n">
        <v>5.324</v>
      </c>
      <c r="D31">
        <f>IF(ISNUMBER(C31),AVERAGEIFS($C$5:$C$504,$A$5:$A$504,A31,$B$5:$B$504,B31),"")</f>
        <v/>
      </c>
      <c r="F31" s="4" t="n"/>
      <c r="G31">
        <f>IF(F31="","",AVERAGEIF($A$5:$A$504,F31,$C$5:$C$504))</f>
        <v/>
      </c>
      <c r="K31" s="15" t="inlineStr">
        <is>
          <t>Repeatability</t>
        </is>
      </c>
      <c r="L31" s="12">
        <f>L27</f>
        <v/>
      </c>
      <c r="M31" s="15">
        <f>100*L31/$L$36</f>
        <v/>
      </c>
      <c r="N31" s="12">
        <f>SQRT(L31)</f>
        <v/>
      </c>
      <c r="O31" s="12">
        <f>$L$6*N31</f>
        <v/>
      </c>
      <c r="P31" s="15">
        <f>100*N31/$N$36</f>
        <v/>
      </c>
      <c r="Q31" s="15">
        <f>100*O31/$L$5</f>
        <v/>
      </c>
    </row>
    <row r="32">
      <c r="A32" s="4" t="n">
        <v>4</v>
      </c>
      <c r="B32" s="4" t="inlineStr">
        <is>
          <t>A</t>
        </is>
      </c>
      <c r="C32" s="4" t="n">
        <v>5.426</v>
      </c>
      <c r="D32">
        <f>IF(ISNUMBER(C32),AVERAGEIFS($C$5:$C$504,$A$5:$A$504,A32,$B$5:$B$504,B32),"")</f>
        <v/>
      </c>
      <c r="F32" s="4" t="n"/>
      <c r="G32">
        <f>IF(F32="","",AVERAGEIF($A$5:$A$504,F32,$C$5:$C$504))</f>
        <v/>
      </c>
      <c r="K32" s="15" t="inlineStr">
        <is>
          <t>Reproducibility</t>
        </is>
      </c>
      <c r="L32" s="12">
        <f>L33+L34</f>
        <v/>
      </c>
      <c r="M32" s="15">
        <f>100*L32/$L$36</f>
        <v/>
      </c>
      <c r="N32" s="12">
        <f>SQRT(L32)</f>
        <v/>
      </c>
      <c r="O32" s="12">
        <f>$L$6*N32</f>
        <v/>
      </c>
      <c r="P32" s="15">
        <f>100*N32/$N$36</f>
        <v/>
      </c>
      <c r="Q32" s="15">
        <f>100*O32/$L$5</f>
        <v/>
      </c>
    </row>
    <row r="33">
      <c r="A33" s="4" t="n">
        <v>4</v>
      </c>
      <c r="B33" s="4" t="inlineStr">
        <is>
          <t>A</t>
        </is>
      </c>
      <c r="C33" s="4" t="n">
        <v>5.461</v>
      </c>
      <c r="D33">
        <f>IF(ISNUMBER(C33),AVERAGEIFS($C$5:$C$504,$A$5:$A$504,A33,$B$5:$B$504,B33),"")</f>
        <v/>
      </c>
      <c r="F33" s="4" t="n"/>
      <c r="G33">
        <f>IF(F33="","",AVERAGEIF($A$5:$A$504,F33,$C$5:$C$504))</f>
        <v/>
      </c>
      <c r="K33" s="15" t="inlineStr">
        <is>
          <t>Operator</t>
        </is>
      </c>
      <c r="L33" s="12">
        <f>MAX(0,(N21-IF(L26="Yes",L27,N22))/(L7*L9))</f>
        <v/>
      </c>
      <c r="M33" s="15">
        <f>100*L33/$L$36</f>
        <v/>
      </c>
      <c r="N33" s="12">
        <f>SQRT(L33)</f>
        <v/>
      </c>
      <c r="O33" s="12">
        <f>$L$6*N33</f>
        <v/>
      </c>
      <c r="P33" s="15">
        <f>100*N33/$N$36</f>
        <v/>
      </c>
      <c r="Q33" s="15">
        <f>100*O33/$L$5</f>
        <v/>
      </c>
    </row>
    <row r="34">
      <c r="A34" s="4" t="n">
        <v>4</v>
      </c>
      <c r="B34" s="4" t="inlineStr">
        <is>
          <t>A</t>
        </is>
      </c>
      <c r="C34" s="4" t="n">
        <v>5.401</v>
      </c>
      <c r="D34">
        <f>IF(ISNUMBER(C34),AVERAGEIFS($C$5:$C$504,$A$5:$A$504,A34,$B$5:$B$504,B34),"")</f>
        <v/>
      </c>
      <c r="F34" s="4" t="n"/>
      <c r="G34">
        <f>IF(F34="","",AVERAGEIF($A$5:$A$504,F34,$C$5:$C$504))</f>
        <v/>
      </c>
      <c r="K34" s="15" t="inlineStr">
        <is>
          <t>Part x Operator</t>
        </is>
      </c>
      <c r="L34" s="12">
        <f>IF(L26="Yes",0,MAX(0,(N22-N23)/L9))</f>
        <v/>
      </c>
      <c r="M34" s="15">
        <f>100*L34/$L$36</f>
        <v/>
      </c>
      <c r="N34" s="12">
        <f>SQRT(L34)</f>
        <v/>
      </c>
      <c r="O34" s="12">
        <f>$L$6*N34</f>
        <v/>
      </c>
      <c r="P34" s="15">
        <f>100*N34/$N$36</f>
        <v/>
      </c>
      <c r="Q34" s="15">
        <f>100*O34/$L$5</f>
        <v/>
      </c>
    </row>
    <row r="35">
      <c r="A35" s="4" t="n">
        <v>4</v>
      </c>
      <c r="B35" s="4" t="inlineStr">
        <is>
          <t>B</t>
        </is>
      </c>
      <c r="C35" s="4" t="n">
        <v>5.503</v>
      </c>
      <c r="D35">
        <f>IF(ISNUMBER(C35),AVERAGEIFS($C$5:$C$504,$A$5:$A$504,A35,$B$5:$B$504,B35),"")</f>
        <v/>
      </c>
      <c r="K35" s="15" t="inlineStr">
        <is>
          <t>Part-to-Part</t>
        </is>
      </c>
      <c r="L35" s="12">
        <f>MAX(0,(N20-IF(L26="Yes",L27,N22))/(L8*L9))</f>
        <v/>
      </c>
      <c r="M35" s="15">
        <f>100*L35/$L$36</f>
        <v/>
      </c>
      <c r="N35" s="12">
        <f>SQRT(L35)</f>
        <v/>
      </c>
      <c r="O35" s="12">
        <f>$L$6*N35</f>
        <v/>
      </c>
      <c r="P35" s="15">
        <f>100*N35/$N$36</f>
        <v/>
      </c>
      <c r="Q35" s="15">
        <f>100*O35/$L$5</f>
        <v/>
      </c>
    </row>
    <row r="36">
      <c r="A36" s="4" t="n">
        <v>4</v>
      </c>
      <c r="B36" s="4" t="inlineStr">
        <is>
          <t>B</t>
        </is>
      </c>
      <c r="C36" s="4" t="n">
        <v>5.504</v>
      </c>
      <c r="D36">
        <f>IF(ISNUMBER(C36),AVERAGEIFS($C$5:$C$504,$A$5:$A$504,A36,$B$5:$B$504,B36),"")</f>
        <v/>
      </c>
      <c r="K36" s="15" t="inlineStr">
        <is>
          <t>Total Variation</t>
        </is>
      </c>
      <c r="L36" s="12">
        <f>L30+L35</f>
        <v/>
      </c>
      <c r="M36" s="15">
        <f>100*L36/$L$36</f>
        <v/>
      </c>
      <c r="N36" s="12">
        <f>SQRT(L36)</f>
        <v/>
      </c>
      <c r="O36" s="12">
        <f>$L$6*N36</f>
        <v/>
      </c>
      <c r="P36" s="15">
        <f>100*N36/$N$36</f>
        <v/>
      </c>
      <c r="Q36" s="15">
        <f>100*O36/$L$5</f>
        <v/>
      </c>
    </row>
    <row r="37">
      <c r="A37" s="4" t="n">
        <v>4</v>
      </c>
      <c r="B37" s="4" t="inlineStr">
        <is>
          <t>B</t>
        </is>
      </c>
      <c r="C37" s="4" t="n">
        <v>5.484</v>
      </c>
      <c r="D37">
        <f>IF(ISNUMBER(C37),AVERAGEIFS($C$5:$C$504,$A$5:$A$504,A37,$B$5:$B$504,B37),"")</f>
        <v/>
      </c>
    </row>
    <row r="38">
      <c r="A38" s="4" t="n">
        <v>4</v>
      </c>
      <c r="B38" s="4" t="inlineStr">
        <is>
          <t>C</t>
        </is>
      </c>
      <c r="C38" s="4" t="n">
        <v>5.507</v>
      </c>
      <c r="D38">
        <f>IF(ISNUMBER(C38),AVERAGEIFS($C$5:$C$504,$A$5:$A$504,A38,$B$5:$B$504,B38),"")</f>
        <v/>
      </c>
      <c r="K38" s="5" t="inlineStr">
        <is>
          <t>Number of distinct categories</t>
        </is>
      </c>
      <c r="L38" s="8">
        <f>INT(1.41*N35/N30)</f>
        <v/>
      </c>
    </row>
    <row r="39">
      <c r="A39" s="4" t="n">
        <v>4</v>
      </c>
      <c r="B39" s="4" t="inlineStr">
        <is>
          <t>C</t>
        </is>
      </c>
      <c r="C39" s="4" t="n">
        <v>5.397</v>
      </c>
      <c r="D39">
        <f>IF(ISNUMBER(C39),AVERAGEIFS($C$5:$C$504,$A$5:$A$504,A39,$B$5:$B$504,B39),"")</f>
        <v/>
      </c>
      <c r="K39" s="5" t="inlineStr">
        <is>
          <t>Verdict</t>
        </is>
      </c>
      <c r="L39" s="14">
        <f>IF(P30&lt;10,"Acceptable",IF(P30&lt;=30,"Marginal: depends on application","Unacceptable: improve the gauge"))</f>
        <v/>
      </c>
    </row>
    <row r="40">
      <c r="A40" s="4" t="n">
        <v>4</v>
      </c>
      <c r="B40" s="4" t="inlineStr">
        <is>
          <t>C</t>
        </is>
      </c>
      <c r="C40" s="4" t="n">
        <v>5.275</v>
      </c>
      <c r="D40">
        <f>IF(ISNUMBER(C40),AVERAGEIFS($C$5:$C$504,$A$5:$A$504,A40,$B$5:$B$504,B40),"")</f>
        <v/>
      </c>
      <c r="K40" s="2" t="inlineStr">
        <is>
          <t>AIAG guidance: %Study var under 10% is acceptable, 10-30% may be acceptable, over 30% is not. ndc should be 5 or more.</t>
        </is>
      </c>
    </row>
    <row r="41">
      <c r="A41" s="4" t="n">
        <v>5</v>
      </c>
      <c r="B41" s="4" t="inlineStr">
        <is>
          <t>A</t>
        </is>
      </c>
      <c r="C41" s="4" t="n">
        <v>4.558</v>
      </c>
      <c r="D41">
        <f>IF(ISNUMBER(C41),AVERAGEIFS($C$5:$C$504,$A$5:$A$504,A41,$B$5:$B$504,B41),"")</f>
        <v/>
      </c>
    </row>
    <row r="42">
      <c r="A42" s="4" t="n">
        <v>5</v>
      </c>
      <c r="B42" s="4" t="inlineStr">
        <is>
          <t>A</t>
        </is>
      </c>
      <c r="C42" s="4" t="n">
        <v>4.608</v>
      </c>
      <c r="D42">
        <f>IF(ISNUMBER(C42),AVERAGEIFS($C$5:$C$504,$A$5:$A$504,A42,$B$5:$B$504,B42),"")</f>
        <v/>
      </c>
    </row>
    <row r="43">
      <c r="A43" s="4" t="n">
        <v>5</v>
      </c>
      <c r="B43" s="4" t="inlineStr">
        <is>
          <t>A</t>
        </is>
      </c>
      <c r="C43" s="4" t="n">
        <v>4.488</v>
      </c>
      <c r="D43">
        <f>IF(ISNUMBER(C43),AVERAGEIFS($C$5:$C$504,$A$5:$A$504,A43,$B$5:$B$504,B43),"")</f>
        <v/>
      </c>
    </row>
    <row r="44">
      <c r="A44" s="4" t="n">
        <v>5</v>
      </c>
      <c r="B44" s="4" t="inlineStr">
        <is>
          <t>B</t>
        </is>
      </c>
      <c r="C44" s="4" t="n">
        <v>4.589</v>
      </c>
      <c r="D44">
        <f>IF(ISNUMBER(C44),AVERAGEIFS($C$5:$C$504,$A$5:$A$504,A44,$B$5:$B$504,B44),"")</f>
        <v/>
      </c>
    </row>
    <row r="45">
      <c r="A45" s="4" t="n">
        <v>5</v>
      </c>
      <c r="B45" s="4" t="inlineStr">
        <is>
          <t>B</t>
        </is>
      </c>
      <c r="C45" s="4" t="n">
        <v>4.561</v>
      </c>
      <c r="D45">
        <f>IF(ISNUMBER(C45),AVERAGEIFS($C$5:$C$504,$A$5:$A$504,A45,$B$5:$B$504,B45),"")</f>
        <v/>
      </c>
    </row>
    <row r="46">
      <c r="A46" s="4" t="n">
        <v>5</v>
      </c>
      <c r="B46" s="4" t="inlineStr">
        <is>
          <t>B</t>
        </is>
      </c>
      <c r="C46" s="4" t="n">
        <v>4.629</v>
      </c>
      <c r="D46">
        <f>IF(ISNUMBER(C46),AVERAGEIFS($C$5:$C$504,$A$5:$A$504,A46,$B$5:$B$504,B46),"")</f>
        <v/>
      </c>
    </row>
    <row r="47">
      <c r="A47" s="4" t="n">
        <v>5</v>
      </c>
      <c r="B47" s="4" t="inlineStr">
        <is>
          <t>C</t>
        </is>
      </c>
      <c r="C47" s="4" t="n">
        <v>4.604</v>
      </c>
      <c r="D47">
        <f>IF(ISNUMBER(C47),AVERAGEIFS($C$5:$C$504,$A$5:$A$504,A47,$B$5:$B$504,B47),"")</f>
        <v/>
      </c>
    </row>
    <row r="48">
      <c r="A48" s="4" t="n">
        <v>5</v>
      </c>
      <c r="B48" s="4" t="inlineStr">
        <is>
          <t>C</t>
        </is>
      </c>
      <c r="C48" s="4" t="n">
        <v>4.548</v>
      </c>
      <c r="D48">
        <f>IF(ISNUMBER(C48),AVERAGEIFS($C$5:$C$504,$A$5:$A$504,A48,$B$5:$B$504,B48),"")</f>
        <v/>
      </c>
    </row>
    <row r="49">
      <c r="A49" s="4" t="n">
        <v>5</v>
      </c>
      <c r="B49" s="4" t="inlineStr">
        <is>
          <t>C</t>
        </is>
      </c>
      <c r="C49" s="4" t="n">
        <v>4.512</v>
      </c>
      <c r="D49">
        <f>IF(ISNUMBER(C49),AVERAGEIFS($C$5:$C$504,$A$5:$A$504,A49,$B$5:$B$504,B49),"")</f>
        <v/>
      </c>
    </row>
    <row r="50">
      <c r="A50" s="4" t="n">
        <v>6</v>
      </c>
      <c r="B50" s="4" t="inlineStr">
        <is>
          <t>A</t>
        </is>
      </c>
      <c r="C50" s="4" t="n">
        <v>5.51</v>
      </c>
      <c r="D50">
        <f>IF(ISNUMBER(C50),AVERAGEIFS($C$5:$C$504,$A$5:$A$504,A50,$B$5:$B$504,B50),"")</f>
        <v/>
      </c>
    </row>
    <row r="51">
      <c r="A51" s="4" t="n">
        <v>6</v>
      </c>
      <c r="B51" s="4" t="inlineStr">
        <is>
          <t>A</t>
        </is>
      </c>
      <c r="C51" s="4" t="n">
        <v>5.564</v>
      </c>
      <c r="D51">
        <f>IF(ISNUMBER(C51),AVERAGEIFS($C$5:$C$504,$A$5:$A$504,A51,$B$5:$B$504,B51),"")</f>
        <v/>
      </c>
    </row>
    <row r="52">
      <c r="A52" s="4" t="n">
        <v>6</v>
      </c>
      <c r="B52" s="4" t="inlineStr">
        <is>
          <t>A</t>
        </is>
      </c>
      <c r="C52" s="4" t="n">
        <v>5.572</v>
      </c>
      <c r="D52">
        <f>IF(ISNUMBER(C52),AVERAGEIFS($C$5:$C$504,$A$5:$A$504,A52,$B$5:$B$504,B52),"")</f>
        <v/>
      </c>
    </row>
    <row r="53">
      <c r="A53" s="4" t="n">
        <v>6</v>
      </c>
      <c r="B53" s="4" t="inlineStr">
        <is>
          <t>B</t>
        </is>
      </c>
      <c r="C53" s="4" t="n">
        <v>5.647</v>
      </c>
      <c r="D53">
        <f>IF(ISNUMBER(C53),AVERAGEIFS($C$5:$C$504,$A$5:$A$504,A53,$B$5:$B$504,B53),"")</f>
        <v/>
      </c>
    </row>
    <row r="54">
      <c r="A54" s="4" t="n">
        <v>6</v>
      </c>
      <c r="B54" s="4" t="inlineStr">
        <is>
          <t>B</t>
        </is>
      </c>
      <c r="C54" s="4" t="n">
        <v>5.671</v>
      </c>
      <c r="D54">
        <f>IF(ISNUMBER(C54),AVERAGEIFS($C$5:$C$504,$A$5:$A$504,A54,$B$5:$B$504,B54),"")</f>
        <v/>
      </c>
    </row>
    <row r="55">
      <c r="A55" s="4" t="n">
        <v>6</v>
      </c>
      <c r="B55" s="4" t="inlineStr">
        <is>
          <t>B</t>
        </is>
      </c>
      <c r="C55" s="4" t="n">
        <v>5.639</v>
      </c>
      <c r="D55">
        <f>IF(ISNUMBER(C55),AVERAGEIFS($C$5:$C$504,$A$5:$A$504,A55,$B$5:$B$504,B55),"")</f>
        <v/>
      </c>
    </row>
    <row r="56">
      <c r="A56" s="4" t="n">
        <v>6</v>
      </c>
      <c r="B56" s="4" t="inlineStr">
        <is>
          <t>C</t>
        </is>
      </c>
      <c r="C56" s="4" t="n">
        <v>5.691</v>
      </c>
      <c r="D56">
        <f>IF(ISNUMBER(C56),AVERAGEIFS($C$5:$C$504,$A$5:$A$504,A56,$B$5:$B$504,B56),"")</f>
        <v/>
      </c>
    </row>
    <row r="57">
      <c r="A57" s="4" t="n">
        <v>6</v>
      </c>
      <c r="B57" s="4" t="inlineStr">
        <is>
          <t>C</t>
        </is>
      </c>
      <c r="C57" s="4" t="n">
        <v>5.569</v>
      </c>
      <c r="D57">
        <f>IF(ISNUMBER(C57),AVERAGEIFS($C$5:$C$504,$A$5:$A$504,A57,$B$5:$B$504,B57),"")</f>
        <v/>
      </c>
    </row>
    <row r="58">
      <c r="A58" s="4" t="n">
        <v>6</v>
      </c>
      <c r="B58" s="4" t="inlineStr">
        <is>
          <t>C</t>
        </is>
      </c>
      <c r="C58" s="4" t="n">
        <v>5.478</v>
      </c>
      <c r="D58">
        <f>IF(ISNUMBER(C58),AVERAGEIFS($C$5:$C$504,$A$5:$A$504,A58,$B$5:$B$504,B58),"")</f>
        <v/>
      </c>
    </row>
    <row r="59">
      <c r="A59" s="4" t="n">
        <v>7</v>
      </c>
      <c r="B59" s="4" t="inlineStr">
        <is>
          <t>A</t>
        </is>
      </c>
      <c r="C59" s="4" t="n">
        <v>4.855</v>
      </c>
      <c r="D59">
        <f>IF(ISNUMBER(C59),AVERAGEIFS($C$5:$C$504,$A$5:$A$504,A59,$B$5:$B$504,B59),"")</f>
        <v/>
      </c>
    </row>
    <row r="60">
      <c r="A60" s="4" t="n">
        <v>7</v>
      </c>
      <c r="B60" s="4" t="inlineStr">
        <is>
          <t>A</t>
        </is>
      </c>
      <c r="C60" s="4" t="n">
        <v>4.867</v>
      </c>
      <c r="D60">
        <f>IF(ISNUMBER(C60),AVERAGEIFS($C$5:$C$504,$A$5:$A$504,A60,$B$5:$B$504,B60),"")</f>
        <v/>
      </c>
    </row>
    <row r="61">
      <c r="A61" s="4" t="n">
        <v>7</v>
      </c>
      <c r="B61" s="4" t="inlineStr">
        <is>
          <t>A</t>
        </is>
      </c>
      <c r="C61" s="4" t="n">
        <v>4.892</v>
      </c>
      <c r="D61">
        <f>IF(ISNUMBER(C61),AVERAGEIFS($C$5:$C$504,$A$5:$A$504,A61,$B$5:$B$504,B61),"")</f>
        <v/>
      </c>
    </row>
    <row r="62">
      <c r="A62" s="4" t="n">
        <v>7</v>
      </c>
      <c r="B62" s="4" t="inlineStr">
        <is>
          <t>B</t>
        </is>
      </c>
      <c r="C62" s="4" t="n">
        <v>4.884</v>
      </c>
      <c r="D62">
        <f>IF(ISNUMBER(C62),AVERAGEIFS($C$5:$C$504,$A$5:$A$504,A62,$B$5:$B$504,B62),"")</f>
        <v/>
      </c>
    </row>
    <row r="63">
      <c r="A63" s="4" t="n">
        <v>7</v>
      </c>
      <c r="B63" s="4" t="inlineStr">
        <is>
          <t>B</t>
        </is>
      </c>
      <c r="C63" s="4" t="n">
        <v>4.847</v>
      </c>
      <c r="D63">
        <f>IF(ISNUMBER(C63),AVERAGEIFS($C$5:$C$504,$A$5:$A$504,A63,$B$5:$B$504,B63),"")</f>
        <v/>
      </c>
    </row>
    <row r="64">
      <c r="A64" s="4" t="n">
        <v>7</v>
      </c>
      <c r="B64" s="4" t="inlineStr">
        <is>
          <t>B</t>
        </is>
      </c>
      <c r="C64" s="4" t="n">
        <v>4.888</v>
      </c>
      <c r="D64">
        <f>IF(ISNUMBER(C64),AVERAGEIFS($C$5:$C$504,$A$5:$A$504,A64,$B$5:$B$504,B64),"")</f>
        <v/>
      </c>
    </row>
    <row r="65">
      <c r="A65" s="4" t="n">
        <v>7</v>
      </c>
      <c r="B65" s="4" t="inlineStr">
        <is>
          <t>C</t>
        </is>
      </c>
      <c r="C65" s="4" t="n">
        <v>4.921</v>
      </c>
      <c r="D65">
        <f>IF(ISNUMBER(C65),AVERAGEIFS($C$5:$C$504,$A$5:$A$504,A65,$B$5:$B$504,B65),"")</f>
        <v/>
      </c>
    </row>
    <row r="66">
      <c r="A66" s="4" t="n">
        <v>7</v>
      </c>
      <c r="B66" s="4" t="inlineStr">
        <is>
          <t>C</t>
        </is>
      </c>
      <c r="C66" s="4" t="n">
        <v>4.767</v>
      </c>
      <c r="D66">
        <f>IF(ISNUMBER(C66),AVERAGEIFS($C$5:$C$504,$A$5:$A$504,A66,$B$5:$B$504,B66),"")</f>
        <v/>
      </c>
    </row>
    <row r="67">
      <c r="A67" s="4" t="n">
        <v>7</v>
      </c>
      <c r="B67" s="4" t="inlineStr">
        <is>
          <t>C</t>
        </is>
      </c>
      <c r="C67" s="4" t="n">
        <v>4.85</v>
      </c>
      <c r="D67">
        <f>IF(ISNUMBER(C67),AVERAGEIFS($C$5:$C$504,$A$5:$A$504,A67,$B$5:$B$504,B67),"")</f>
        <v/>
      </c>
    </row>
    <row r="68">
      <c r="A68" s="4" t="n">
        <v>8</v>
      </c>
      <c r="B68" s="4" t="inlineStr">
        <is>
          <t>A</t>
        </is>
      </c>
      <c r="C68" s="4" t="n">
        <v>5.526</v>
      </c>
      <c r="D68">
        <f>IF(ISNUMBER(C68),AVERAGEIFS($C$5:$C$504,$A$5:$A$504,A68,$B$5:$B$504,B68),"")</f>
        <v/>
      </c>
    </row>
    <row r="69">
      <c r="A69" s="4" t="n">
        <v>8</v>
      </c>
      <c r="B69" s="4" t="inlineStr">
        <is>
          <t>A</t>
        </is>
      </c>
      <c r="C69" s="4" t="n">
        <v>5.541</v>
      </c>
      <c r="D69">
        <f>IF(ISNUMBER(C69),AVERAGEIFS($C$5:$C$504,$A$5:$A$504,A69,$B$5:$B$504,B69),"")</f>
        <v/>
      </c>
    </row>
    <row r="70">
      <c r="A70" s="4" t="n">
        <v>8</v>
      </c>
      <c r="B70" s="4" t="inlineStr">
        <is>
          <t>A</t>
        </is>
      </c>
      <c r="C70" s="4" t="n">
        <v>5.597</v>
      </c>
      <c r="D70">
        <f>IF(ISNUMBER(C70),AVERAGEIFS($C$5:$C$504,$A$5:$A$504,A70,$B$5:$B$504,B70),"")</f>
        <v/>
      </c>
    </row>
    <row r="71">
      <c r="A71" s="4" t="n">
        <v>8</v>
      </c>
      <c r="B71" s="4" t="inlineStr">
        <is>
          <t>B</t>
        </is>
      </c>
      <c r="C71" s="4" t="n">
        <v>5.62</v>
      </c>
      <c r="D71">
        <f>IF(ISNUMBER(C71),AVERAGEIFS($C$5:$C$504,$A$5:$A$504,A71,$B$5:$B$504,B71),"")</f>
        <v/>
      </c>
    </row>
    <row r="72">
      <c r="A72" s="4" t="n">
        <v>8</v>
      </c>
      <c r="B72" s="4" t="inlineStr">
        <is>
          <t>B</t>
        </is>
      </c>
      <c r="C72" s="4" t="n">
        <v>5.605</v>
      </c>
      <c r="D72">
        <f>IF(ISNUMBER(C72),AVERAGEIFS($C$5:$C$504,$A$5:$A$504,A72,$B$5:$B$504,B72),"")</f>
        <v/>
      </c>
    </row>
    <row r="73">
      <c r="A73" s="4" t="n">
        <v>8</v>
      </c>
      <c r="B73" s="4" t="inlineStr">
        <is>
          <t>B</t>
        </is>
      </c>
      <c r="C73" s="4" t="n">
        <v>5.519</v>
      </c>
      <c r="D73">
        <f>IF(ISNUMBER(C73),AVERAGEIFS($C$5:$C$504,$A$5:$A$504,A73,$B$5:$B$504,B73),"")</f>
        <v/>
      </c>
    </row>
    <row r="74">
      <c r="A74" s="4" t="n">
        <v>8</v>
      </c>
      <c r="B74" s="4" t="inlineStr">
        <is>
          <t>C</t>
        </is>
      </c>
      <c r="C74" s="4" t="n">
        <v>5.51</v>
      </c>
      <c r="D74">
        <f>IF(ISNUMBER(C74),AVERAGEIFS($C$5:$C$504,$A$5:$A$504,A74,$B$5:$B$504,B74),"")</f>
        <v/>
      </c>
    </row>
    <row r="75">
      <c r="A75" s="4" t="n">
        <v>8</v>
      </c>
      <c r="B75" s="4" t="inlineStr">
        <is>
          <t>C</t>
        </is>
      </c>
      <c r="C75" s="4" t="n">
        <v>5.518</v>
      </c>
      <c r="D75">
        <f>IF(ISNUMBER(C75),AVERAGEIFS($C$5:$C$504,$A$5:$A$504,A75,$B$5:$B$504,B75),"")</f>
        <v/>
      </c>
    </row>
    <row r="76">
      <c r="A76" s="4" t="n">
        <v>8</v>
      </c>
      <c r="B76" s="4" t="inlineStr">
        <is>
          <t>C</t>
        </is>
      </c>
      <c r="C76" s="4" t="n">
        <v>5.562</v>
      </c>
      <c r="D76">
        <f>IF(ISNUMBER(C76),AVERAGEIFS($C$5:$C$504,$A$5:$A$504,A76,$B$5:$B$504,B76),"")</f>
        <v/>
      </c>
    </row>
    <row r="77">
      <c r="A77" s="4" t="n">
        <v>9</v>
      </c>
      <c r="B77" s="4" t="inlineStr">
        <is>
          <t>A</t>
        </is>
      </c>
      <c r="C77" s="4" t="n">
        <v>5.102</v>
      </c>
      <c r="D77">
        <f>IF(ISNUMBER(C77),AVERAGEIFS($C$5:$C$504,$A$5:$A$504,A77,$B$5:$B$504,B77),"")</f>
        <v/>
      </c>
    </row>
    <row r="78">
      <c r="A78" s="4" t="n">
        <v>9</v>
      </c>
      <c r="B78" s="4" t="inlineStr">
        <is>
          <t>A</t>
        </is>
      </c>
      <c r="C78" s="4" t="n">
        <v>5.105</v>
      </c>
      <c r="D78">
        <f>IF(ISNUMBER(C78),AVERAGEIFS($C$5:$C$504,$A$5:$A$504,A78,$B$5:$B$504,B78),"")</f>
        <v/>
      </c>
    </row>
    <row r="79">
      <c r="A79" s="4" t="n">
        <v>9</v>
      </c>
      <c r="B79" s="4" t="inlineStr">
        <is>
          <t>A</t>
        </is>
      </c>
      <c r="C79" s="4" t="n">
        <v>5.206</v>
      </c>
      <c r="D79">
        <f>IF(ISNUMBER(C79),AVERAGEIFS($C$5:$C$504,$A$5:$A$504,A79,$B$5:$B$504,B79),"")</f>
        <v/>
      </c>
    </row>
    <row r="80">
      <c r="A80" s="4" t="n">
        <v>9</v>
      </c>
      <c r="B80" s="4" t="inlineStr">
        <is>
          <t>B</t>
        </is>
      </c>
      <c r="C80" s="4" t="n">
        <v>5.189</v>
      </c>
      <c r="D80">
        <f>IF(ISNUMBER(C80),AVERAGEIFS($C$5:$C$504,$A$5:$A$504,A80,$B$5:$B$504,B80),"")</f>
        <v/>
      </c>
    </row>
    <row r="81">
      <c r="A81" s="4" t="n">
        <v>9</v>
      </c>
      <c r="B81" s="4" t="inlineStr">
        <is>
          <t>B</t>
        </is>
      </c>
      <c r="C81" s="4" t="n">
        <v>5.162</v>
      </c>
      <c r="D81">
        <f>IF(ISNUMBER(C81),AVERAGEIFS($C$5:$C$504,$A$5:$A$504,A81,$B$5:$B$504,B81),"")</f>
        <v/>
      </c>
    </row>
    <row r="82">
      <c r="A82" s="4" t="n">
        <v>9</v>
      </c>
      <c r="B82" s="4" t="inlineStr">
        <is>
          <t>B</t>
        </is>
      </c>
      <c r="C82" s="4" t="n">
        <v>5.232</v>
      </c>
      <c r="D82">
        <f>IF(ISNUMBER(C82),AVERAGEIFS($C$5:$C$504,$A$5:$A$504,A82,$B$5:$B$504,B82),"")</f>
        <v/>
      </c>
    </row>
    <row r="83">
      <c r="A83" s="4" t="n">
        <v>9</v>
      </c>
      <c r="B83" s="4" t="inlineStr">
        <is>
          <t>C</t>
        </is>
      </c>
      <c r="C83" s="4" t="n">
        <v>5.151</v>
      </c>
      <c r="D83">
        <f>IF(ISNUMBER(C83),AVERAGEIFS($C$5:$C$504,$A$5:$A$504,A83,$B$5:$B$504,B83),"")</f>
        <v/>
      </c>
    </row>
    <row r="84">
      <c r="A84" s="4" t="n">
        <v>9</v>
      </c>
      <c r="B84" s="4" t="inlineStr">
        <is>
          <t>C</t>
        </is>
      </c>
      <c r="C84" s="4" t="n">
        <v>5.106</v>
      </c>
      <c r="D84">
        <f>IF(ISNUMBER(C84),AVERAGEIFS($C$5:$C$504,$A$5:$A$504,A84,$B$5:$B$504,B84),"")</f>
        <v/>
      </c>
    </row>
    <row r="85">
      <c r="A85" s="4" t="n">
        <v>9</v>
      </c>
      <c r="B85" s="4" t="inlineStr">
        <is>
          <t>C</t>
        </is>
      </c>
      <c r="C85" s="4" t="n">
        <v>5.074</v>
      </c>
      <c r="D85">
        <f>IF(ISNUMBER(C85),AVERAGEIFS($C$5:$C$504,$A$5:$A$504,A85,$B$5:$B$504,B85),"")</f>
        <v/>
      </c>
    </row>
    <row r="86">
      <c r="A86" s="4" t="n">
        <v>10</v>
      </c>
      <c r="B86" s="4" t="inlineStr">
        <is>
          <t>A</t>
        </is>
      </c>
      <c r="C86" s="4" t="n">
        <v>4.748</v>
      </c>
      <c r="D86">
        <f>IF(ISNUMBER(C86),AVERAGEIFS($C$5:$C$504,$A$5:$A$504,A86,$B$5:$B$504,B86),"")</f>
        <v/>
      </c>
    </row>
    <row r="87">
      <c r="A87" s="4" t="n">
        <v>10</v>
      </c>
      <c r="B87" s="4" t="inlineStr">
        <is>
          <t>A</t>
        </is>
      </c>
      <c r="C87" s="4" t="n">
        <v>4.664</v>
      </c>
      <c r="D87">
        <f>IF(ISNUMBER(C87),AVERAGEIFS($C$5:$C$504,$A$5:$A$504,A87,$B$5:$B$504,B87),"")</f>
        <v/>
      </c>
    </row>
    <row r="88">
      <c r="A88" s="4" t="n">
        <v>10</v>
      </c>
      <c r="B88" s="4" t="inlineStr">
        <is>
          <t>A</t>
        </is>
      </c>
      <c r="C88" s="4" t="n">
        <v>4.64</v>
      </c>
      <c r="D88">
        <f>IF(ISNUMBER(C88),AVERAGEIFS($C$5:$C$504,$A$5:$A$504,A88,$B$5:$B$504,B88),"")</f>
        <v/>
      </c>
    </row>
    <row r="89">
      <c r="A89" s="4" t="n">
        <v>10</v>
      </c>
      <c r="B89" s="4" t="inlineStr">
        <is>
          <t>B</t>
        </is>
      </c>
      <c r="C89" s="4" t="n">
        <v>4.803</v>
      </c>
      <c r="D89">
        <f>IF(ISNUMBER(C89),AVERAGEIFS($C$5:$C$504,$A$5:$A$504,A89,$B$5:$B$504,B89),"")</f>
        <v/>
      </c>
    </row>
    <row r="90">
      <c r="A90" s="4" t="n">
        <v>10</v>
      </c>
      <c r="B90" s="4" t="inlineStr">
        <is>
          <t>B</t>
        </is>
      </c>
      <c r="C90" s="4" t="n">
        <v>4.805</v>
      </c>
      <c r="D90">
        <f>IF(ISNUMBER(C90),AVERAGEIFS($C$5:$C$504,$A$5:$A$504,A90,$B$5:$B$504,B90),"")</f>
        <v/>
      </c>
    </row>
    <row r="91">
      <c r="A91" s="4" t="n">
        <v>10</v>
      </c>
      <c r="B91" s="4" t="inlineStr">
        <is>
          <t>B</t>
        </is>
      </c>
      <c r="C91" s="4" t="n">
        <v>4.837</v>
      </c>
      <c r="D91">
        <f>IF(ISNUMBER(C91),AVERAGEIFS($C$5:$C$504,$A$5:$A$504,A91,$B$5:$B$504,B91),"")</f>
        <v/>
      </c>
    </row>
    <row r="92">
      <c r="A92" s="4" t="n">
        <v>10</v>
      </c>
      <c r="B92" s="4" t="inlineStr">
        <is>
          <t>C</t>
        </is>
      </c>
      <c r="C92" s="4" t="n">
        <v>4.619</v>
      </c>
      <c r="D92">
        <f>IF(ISNUMBER(C92),AVERAGEIFS($C$5:$C$504,$A$5:$A$504,A92,$B$5:$B$504,B92),"")</f>
        <v/>
      </c>
    </row>
    <row r="93">
      <c r="A93" s="4" t="n">
        <v>10</v>
      </c>
      <c r="B93" s="4" t="inlineStr">
        <is>
          <t>C</t>
        </is>
      </c>
      <c r="C93" s="4" t="n">
        <v>4.647</v>
      </c>
      <c r="D93">
        <f>IF(ISNUMBER(C93),AVERAGEIFS($C$5:$C$504,$A$5:$A$504,A93,$B$5:$B$504,B93),"")</f>
        <v/>
      </c>
    </row>
    <row r="94">
      <c r="A94" s="4" t="n">
        <v>10</v>
      </c>
      <c r="B94" s="4" t="inlineStr">
        <is>
          <t>C</t>
        </is>
      </c>
      <c r="C94" s="4" t="n">
        <v>4.698</v>
      </c>
      <c r="D94">
        <f>IF(ISNUMBER(C94),AVERAGEIFS($C$5:$C$504,$A$5:$A$504,A94,$B$5:$B$504,B94),"")</f>
        <v/>
      </c>
    </row>
    <row r="95">
      <c r="A95" s="4" t="n"/>
      <c r="B95" s="4" t="n"/>
      <c r="C95" s="4" t="n"/>
      <c r="D95">
        <f>IF(ISNUMBER(C95),AVERAGEIFS($C$5:$C$504,$A$5:$A$504,A95,$B$5:$B$504,B95),"")</f>
        <v/>
      </c>
    </row>
    <row r="96">
      <c r="A96" s="4" t="n"/>
      <c r="B96" s="4" t="n"/>
      <c r="C96" s="4" t="n"/>
      <c r="D96">
        <f>IF(ISNUMBER(C96),AVERAGEIFS($C$5:$C$504,$A$5:$A$504,A96,$B$5:$B$504,B96),"")</f>
        <v/>
      </c>
    </row>
    <row r="97">
      <c r="A97" s="4" t="n"/>
      <c r="B97" s="4" t="n"/>
      <c r="C97" s="4" t="n"/>
      <c r="D97">
        <f>IF(ISNUMBER(C97),AVERAGEIFS($C$5:$C$504,$A$5:$A$504,A97,$B$5:$B$504,B97),"")</f>
        <v/>
      </c>
    </row>
    <row r="98">
      <c r="A98" s="4" t="n"/>
      <c r="B98" s="4" t="n"/>
      <c r="C98" s="4" t="n"/>
      <c r="D98">
        <f>IF(ISNUMBER(C98),AVERAGEIFS($C$5:$C$504,$A$5:$A$504,A98,$B$5:$B$504,B98),"")</f>
        <v/>
      </c>
    </row>
    <row r="99">
      <c r="A99" s="4" t="n"/>
      <c r="B99" s="4" t="n"/>
      <c r="C99" s="4" t="n"/>
      <c r="D99">
        <f>IF(ISNUMBER(C99),AVERAGEIFS($C$5:$C$504,$A$5:$A$504,A99,$B$5:$B$504,B99),"")</f>
        <v/>
      </c>
    </row>
    <row r="100">
      <c r="A100" s="4" t="n"/>
      <c r="B100" s="4" t="n"/>
      <c r="C100" s="4" t="n"/>
      <c r="D100">
        <f>IF(ISNUMBER(C100),AVERAGEIFS($C$5:$C$504,$A$5:$A$504,A100,$B$5:$B$504,B100),"")</f>
        <v/>
      </c>
    </row>
    <row r="101">
      <c r="A101" s="4" t="n"/>
      <c r="B101" s="4" t="n"/>
      <c r="C101" s="4" t="n"/>
      <c r="D101">
        <f>IF(ISNUMBER(C101),AVERAGEIFS($C$5:$C$504,$A$5:$A$504,A101,$B$5:$B$504,B101),"")</f>
        <v/>
      </c>
    </row>
    <row r="102">
      <c r="A102" s="4" t="n"/>
      <c r="B102" s="4" t="n"/>
      <c r="C102" s="4" t="n"/>
      <c r="D102">
        <f>IF(ISNUMBER(C102),AVERAGEIFS($C$5:$C$504,$A$5:$A$504,A102,$B$5:$B$504,B102),"")</f>
        <v/>
      </c>
    </row>
    <row r="103">
      <c r="A103" s="4" t="n"/>
      <c r="B103" s="4" t="n"/>
      <c r="C103" s="4" t="n"/>
      <c r="D103">
        <f>IF(ISNUMBER(C103),AVERAGEIFS($C$5:$C$504,$A$5:$A$504,A103,$B$5:$B$504,B103),"")</f>
        <v/>
      </c>
    </row>
    <row r="104">
      <c r="A104" s="4" t="n"/>
      <c r="B104" s="4" t="n"/>
      <c r="C104" s="4" t="n"/>
      <c r="D104">
        <f>IF(ISNUMBER(C104),AVERAGEIFS($C$5:$C$504,$A$5:$A$504,A104,$B$5:$B$504,B104),"")</f>
        <v/>
      </c>
    </row>
    <row r="105">
      <c r="A105" s="4" t="n"/>
      <c r="B105" s="4" t="n"/>
      <c r="C105" s="4" t="n"/>
      <c r="D105">
        <f>IF(ISNUMBER(C105),AVERAGEIFS($C$5:$C$504,$A$5:$A$504,A105,$B$5:$B$504,B105),"")</f>
        <v/>
      </c>
    </row>
    <row r="106">
      <c r="A106" s="4" t="n"/>
      <c r="B106" s="4" t="n"/>
      <c r="C106" s="4" t="n"/>
      <c r="D106">
        <f>IF(ISNUMBER(C106),AVERAGEIFS($C$5:$C$504,$A$5:$A$504,A106,$B$5:$B$504,B106),"")</f>
        <v/>
      </c>
    </row>
    <row r="107">
      <c r="A107" s="4" t="n"/>
      <c r="B107" s="4" t="n"/>
      <c r="C107" s="4" t="n"/>
      <c r="D107">
        <f>IF(ISNUMBER(C107),AVERAGEIFS($C$5:$C$504,$A$5:$A$504,A107,$B$5:$B$504,B107),"")</f>
        <v/>
      </c>
    </row>
    <row r="108">
      <c r="A108" s="4" t="n"/>
      <c r="B108" s="4" t="n"/>
      <c r="C108" s="4" t="n"/>
      <c r="D108">
        <f>IF(ISNUMBER(C108),AVERAGEIFS($C$5:$C$504,$A$5:$A$504,A108,$B$5:$B$504,B108),"")</f>
        <v/>
      </c>
    </row>
    <row r="109">
      <c r="A109" s="4" t="n"/>
      <c r="B109" s="4" t="n"/>
      <c r="C109" s="4" t="n"/>
      <c r="D109">
        <f>IF(ISNUMBER(C109),AVERAGEIFS($C$5:$C$504,$A$5:$A$504,A109,$B$5:$B$504,B109),"")</f>
        <v/>
      </c>
    </row>
    <row r="110">
      <c r="A110" s="4" t="n"/>
      <c r="B110" s="4" t="n"/>
      <c r="C110" s="4" t="n"/>
      <c r="D110">
        <f>IF(ISNUMBER(C110),AVERAGEIFS($C$5:$C$504,$A$5:$A$504,A110,$B$5:$B$504,B110),"")</f>
        <v/>
      </c>
    </row>
    <row r="111">
      <c r="A111" s="4" t="n"/>
      <c r="B111" s="4" t="n"/>
      <c r="C111" s="4" t="n"/>
      <c r="D111">
        <f>IF(ISNUMBER(C111),AVERAGEIFS($C$5:$C$504,$A$5:$A$504,A111,$B$5:$B$504,B111),"")</f>
        <v/>
      </c>
    </row>
    <row r="112">
      <c r="A112" s="4" t="n"/>
      <c r="B112" s="4" t="n"/>
      <c r="C112" s="4" t="n"/>
      <c r="D112">
        <f>IF(ISNUMBER(C112),AVERAGEIFS($C$5:$C$504,$A$5:$A$504,A112,$B$5:$B$504,B112),"")</f>
        <v/>
      </c>
    </row>
    <row r="113">
      <c r="A113" s="4" t="n"/>
      <c r="B113" s="4" t="n"/>
      <c r="C113" s="4" t="n"/>
      <c r="D113">
        <f>IF(ISNUMBER(C113),AVERAGEIFS($C$5:$C$504,$A$5:$A$504,A113,$B$5:$B$504,B113),"")</f>
        <v/>
      </c>
    </row>
    <row r="114">
      <c r="A114" s="4" t="n"/>
      <c r="B114" s="4" t="n"/>
      <c r="C114" s="4" t="n"/>
      <c r="D114">
        <f>IF(ISNUMBER(C114),AVERAGEIFS($C$5:$C$504,$A$5:$A$504,A114,$B$5:$B$504,B114),"")</f>
        <v/>
      </c>
    </row>
    <row r="115">
      <c r="A115" s="4" t="n"/>
      <c r="B115" s="4" t="n"/>
      <c r="C115" s="4" t="n"/>
      <c r="D115">
        <f>IF(ISNUMBER(C115),AVERAGEIFS($C$5:$C$504,$A$5:$A$504,A115,$B$5:$B$504,B115),"")</f>
        <v/>
      </c>
    </row>
    <row r="116">
      <c r="A116" s="4" t="n"/>
      <c r="B116" s="4" t="n"/>
      <c r="C116" s="4" t="n"/>
      <c r="D116">
        <f>IF(ISNUMBER(C116),AVERAGEIFS($C$5:$C$504,$A$5:$A$504,A116,$B$5:$B$504,B116),"")</f>
        <v/>
      </c>
    </row>
    <row r="117">
      <c r="A117" s="4" t="n"/>
      <c r="B117" s="4" t="n"/>
      <c r="C117" s="4" t="n"/>
      <c r="D117">
        <f>IF(ISNUMBER(C117),AVERAGEIFS($C$5:$C$504,$A$5:$A$504,A117,$B$5:$B$504,B117),"")</f>
        <v/>
      </c>
    </row>
    <row r="118">
      <c r="A118" s="4" t="n"/>
      <c r="B118" s="4" t="n"/>
      <c r="C118" s="4" t="n"/>
      <c r="D118">
        <f>IF(ISNUMBER(C118),AVERAGEIFS($C$5:$C$504,$A$5:$A$504,A118,$B$5:$B$504,B118),"")</f>
        <v/>
      </c>
    </row>
    <row r="119">
      <c r="A119" s="4" t="n"/>
      <c r="B119" s="4" t="n"/>
      <c r="C119" s="4" t="n"/>
      <c r="D119">
        <f>IF(ISNUMBER(C119),AVERAGEIFS($C$5:$C$504,$A$5:$A$504,A119,$B$5:$B$504,B119),"")</f>
        <v/>
      </c>
    </row>
    <row r="120">
      <c r="A120" s="4" t="n"/>
      <c r="B120" s="4" t="n"/>
      <c r="C120" s="4" t="n"/>
      <c r="D120">
        <f>IF(ISNUMBER(C120),AVERAGEIFS($C$5:$C$504,$A$5:$A$504,A120,$B$5:$B$504,B120),"")</f>
        <v/>
      </c>
    </row>
    <row r="121">
      <c r="A121" s="4" t="n"/>
      <c r="B121" s="4" t="n"/>
      <c r="C121" s="4" t="n"/>
      <c r="D121">
        <f>IF(ISNUMBER(C121),AVERAGEIFS($C$5:$C$504,$A$5:$A$504,A121,$B$5:$B$504,B121),"")</f>
        <v/>
      </c>
    </row>
    <row r="122">
      <c r="A122" s="4" t="n"/>
      <c r="B122" s="4" t="n"/>
      <c r="C122" s="4" t="n"/>
      <c r="D122">
        <f>IF(ISNUMBER(C122),AVERAGEIFS($C$5:$C$504,$A$5:$A$504,A122,$B$5:$B$504,B122),"")</f>
        <v/>
      </c>
    </row>
    <row r="123">
      <c r="A123" s="4" t="n"/>
      <c r="B123" s="4" t="n"/>
      <c r="C123" s="4" t="n"/>
      <c r="D123">
        <f>IF(ISNUMBER(C123),AVERAGEIFS($C$5:$C$504,$A$5:$A$504,A123,$B$5:$B$504,B123),"")</f>
        <v/>
      </c>
    </row>
    <row r="124">
      <c r="A124" s="4" t="n"/>
      <c r="B124" s="4" t="n"/>
      <c r="C124" s="4" t="n"/>
      <c r="D124">
        <f>IF(ISNUMBER(C124),AVERAGEIFS($C$5:$C$504,$A$5:$A$504,A124,$B$5:$B$504,B124),"")</f>
        <v/>
      </c>
    </row>
    <row r="125">
      <c r="A125" s="4" t="n"/>
      <c r="B125" s="4" t="n"/>
      <c r="C125" s="4" t="n"/>
      <c r="D125">
        <f>IF(ISNUMBER(C125),AVERAGEIFS($C$5:$C$504,$A$5:$A$504,A125,$B$5:$B$504,B125),"")</f>
        <v/>
      </c>
    </row>
    <row r="126">
      <c r="A126" s="4" t="n"/>
      <c r="B126" s="4" t="n"/>
      <c r="C126" s="4" t="n"/>
      <c r="D126">
        <f>IF(ISNUMBER(C126),AVERAGEIFS($C$5:$C$504,$A$5:$A$504,A126,$B$5:$B$504,B126),"")</f>
        <v/>
      </c>
    </row>
    <row r="127">
      <c r="A127" s="4" t="n"/>
      <c r="B127" s="4" t="n"/>
      <c r="C127" s="4" t="n"/>
      <c r="D127">
        <f>IF(ISNUMBER(C127),AVERAGEIFS($C$5:$C$504,$A$5:$A$504,A127,$B$5:$B$504,B127),"")</f>
        <v/>
      </c>
    </row>
    <row r="128">
      <c r="A128" s="4" t="n"/>
      <c r="B128" s="4" t="n"/>
      <c r="C128" s="4" t="n"/>
      <c r="D128">
        <f>IF(ISNUMBER(C128),AVERAGEIFS($C$5:$C$504,$A$5:$A$504,A128,$B$5:$B$504,B128),"")</f>
        <v/>
      </c>
    </row>
    <row r="129">
      <c r="A129" s="4" t="n"/>
      <c r="B129" s="4" t="n"/>
      <c r="C129" s="4" t="n"/>
      <c r="D129">
        <f>IF(ISNUMBER(C129),AVERAGEIFS($C$5:$C$504,$A$5:$A$504,A129,$B$5:$B$504,B129),"")</f>
        <v/>
      </c>
    </row>
    <row r="130">
      <c r="A130" s="4" t="n"/>
      <c r="B130" s="4" t="n"/>
      <c r="C130" s="4" t="n"/>
      <c r="D130">
        <f>IF(ISNUMBER(C130),AVERAGEIFS($C$5:$C$504,$A$5:$A$504,A130,$B$5:$B$504,B130),"")</f>
        <v/>
      </c>
    </row>
    <row r="131">
      <c r="A131" s="4" t="n"/>
      <c r="B131" s="4" t="n"/>
      <c r="C131" s="4" t="n"/>
      <c r="D131">
        <f>IF(ISNUMBER(C131),AVERAGEIFS($C$5:$C$504,$A$5:$A$504,A131,$B$5:$B$504,B131),"")</f>
        <v/>
      </c>
    </row>
    <row r="132">
      <c r="A132" s="4" t="n"/>
      <c r="B132" s="4" t="n"/>
      <c r="C132" s="4" t="n"/>
      <c r="D132">
        <f>IF(ISNUMBER(C132),AVERAGEIFS($C$5:$C$504,$A$5:$A$504,A132,$B$5:$B$504,B132),"")</f>
        <v/>
      </c>
    </row>
    <row r="133">
      <c r="A133" s="4" t="n"/>
      <c r="B133" s="4" t="n"/>
      <c r="C133" s="4" t="n"/>
      <c r="D133">
        <f>IF(ISNUMBER(C133),AVERAGEIFS($C$5:$C$504,$A$5:$A$504,A133,$B$5:$B$504,B133),"")</f>
        <v/>
      </c>
    </row>
    <row r="134">
      <c r="A134" s="4" t="n"/>
      <c r="B134" s="4" t="n"/>
      <c r="C134" s="4" t="n"/>
      <c r="D134">
        <f>IF(ISNUMBER(C134),AVERAGEIFS($C$5:$C$504,$A$5:$A$504,A134,$B$5:$B$504,B134),"")</f>
        <v/>
      </c>
    </row>
    <row r="135">
      <c r="A135" s="4" t="n"/>
      <c r="B135" s="4" t="n"/>
      <c r="C135" s="4" t="n"/>
      <c r="D135">
        <f>IF(ISNUMBER(C135),AVERAGEIFS($C$5:$C$504,$A$5:$A$504,A135,$B$5:$B$504,B135),"")</f>
        <v/>
      </c>
    </row>
    <row r="136">
      <c r="A136" s="4" t="n"/>
      <c r="B136" s="4" t="n"/>
      <c r="C136" s="4" t="n"/>
      <c r="D136">
        <f>IF(ISNUMBER(C136),AVERAGEIFS($C$5:$C$504,$A$5:$A$504,A136,$B$5:$B$504,B136),"")</f>
        <v/>
      </c>
    </row>
    <row r="137">
      <c r="A137" s="4" t="n"/>
      <c r="B137" s="4" t="n"/>
      <c r="C137" s="4" t="n"/>
      <c r="D137">
        <f>IF(ISNUMBER(C137),AVERAGEIFS($C$5:$C$504,$A$5:$A$504,A137,$B$5:$B$504,B137),"")</f>
        <v/>
      </c>
    </row>
    <row r="138">
      <c r="A138" s="4" t="n"/>
      <c r="B138" s="4" t="n"/>
      <c r="C138" s="4" t="n"/>
      <c r="D138">
        <f>IF(ISNUMBER(C138),AVERAGEIFS($C$5:$C$504,$A$5:$A$504,A138,$B$5:$B$504,B138),"")</f>
        <v/>
      </c>
    </row>
    <row r="139">
      <c r="A139" s="4" t="n"/>
      <c r="B139" s="4" t="n"/>
      <c r="C139" s="4" t="n"/>
      <c r="D139">
        <f>IF(ISNUMBER(C139),AVERAGEIFS($C$5:$C$504,$A$5:$A$504,A139,$B$5:$B$504,B139),"")</f>
        <v/>
      </c>
    </row>
    <row r="140">
      <c r="A140" s="4" t="n"/>
      <c r="B140" s="4" t="n"/>
      <c r="C140" s="4" t="n"/>
      <c r="D140">
        <f>IF(ISNUMBER(C140),AVERAGEIFS($C$5:$C$504,$A$5:$A$504,A140,$B$5:$B$504,B140),"")</f>
        <v/>
      </c>
    </row>
    <row r="141">
      <c r="A141" s="4" t="n"/>
      <c r="B141" s="4" t="n"/>
      <c r="C141" s="4" t="n"/>
      <c r="D141">
        <f>IF(ISNUMBER(C141),AVERAGEIFS($C$5:$C$504,$A$5:$A$504,A141,$B$5:$B$504,B141),"")</f>
        <v/>
      </c>
    </row>
    <row r="142">
      <c r="A142" s="4" t="n"/>
      <c r="B142" s="4" t="n"/>
      <c r="C142" s="4" t="n"/>
      <c r="D142">
        <f>IF(ISNUMBER(C142),AVERAGEIFS($C$5:$C$504,$A$5:$A$504,A142,$B$5:$B$504,B142),"")</f>
        <v/>
      </c>
    </row>
    <row r="143">
      <c r="A143" s="4" t="n"/>
      <c r="B143" s="4" t="n"/>
      <c r="C143" s="4" t="n"/>
      <c r="D143">
        <f>IF(ISNUMBER(C143),AVERAGEIFS($C$5:$C$504,$A$5:$A$504,A143,$B$5:$B$504,B143),"")</f>
        <v/>
      </c>
    </row>
    <row r="144">
      <c r="A144" s="4" t="n"/>
      <c r="B144" s="4" t="n"/>
      <c r="C144" s="4" t="n"/>
      <c r="D144">
        <f>IF(ISNUMBER(C144),AVERAGEIFS($C$5:$C$504,$A$5:$A$504,A144,$B$5:$B$504,B144),"")</f>
        <v/>
      </c>
    </row>
    <row r="145">
      <c r="A145" s="4" t="n"/>
      <c r="B145" s="4" t="n"/>
      <c r="C145" s="4" t="n"/>
      <c r="D145">
        <f>IF(ISNUMBER(C145),AVERAGEIFS($C$5:$C$504,$A$5:$A$504,A145,$B$5:$B$504,B145),"")</f>
        <v/>
      </c>
    </row>
    <row r="146">
      <c r="A146" s="4" t="n"/>
      <c r="B146" s="4" t="n"/>
      <c r="C146" s="4" t="n"/>
      <c r="D146">
        <f>IF(ISNUMBER(C146),AVERAGEIFS($C$5:$C$504,$A$5:$A$504,A146,$B$5:$B$504,B146),"")</f>
        <v/>
      </c>
    </row>
    <row r="147">
      <c r="A147" s="4" t="n"/>
      <c r="B147" s="4" t="n"/>
      <c r="C147" s="4" t="n"/>
      <c r="D147">
        <f>IF(ISNUMBER(C147),AVERAGEIFS($C$5:$C$504,$A$5:$A$504,A147,$B$5:$B$504,B147),"")</f>
        <v/>
      </c>
    </row>
    <row r="148">
      <c r="A148" s="4" t="n"/>
      <c r="B148" s="4" t="n"/>
      <c r="C148" s="4" t="n"/>
      <c r="D148">
        <f>IF(ISNUMBER(C148),AVERAGEIFS($C$5:$C$504,$A$5:$A$504,A148,$B$5:$B$504,B148),"")</f>
        <v/>
      </c>
    </row>
    <row r="149">
      <c r="A149" s="4" t="n"/>
      <c r="B149" s="4" t="n"/>
      <c r="C149" s="4" t="n"/>
      <c r="D149">
        <f>IF(ISNUMBER(C149),AVERAGEIFS($C$5:$C$504,$A$5:$A$504,A149,$B$5:$B$504,B149),"")</f>
        <v/>
      </c>
    </row>
    <row r="150">
      <c r="A150" s="4" t="n"/>
      <c r="B150" s="4" t="n"/>
      <c r="C150" s="4" t="n"/>
      <c r="D150">
        <f>IF(ISNUMBER(C150),AVERAGEIFS($C$5:$C$504,$A$5:$A$504,A150,$B$5:$B$504,B150),"")</f>
        <v/>
      </c>
    </row>
    <row r="151">
      <c r="A151" s="4" t="n"/>
      <c r="B151" s="4" t="n"/>
      <c r="C151" s="4" t="n"/>
      <c r="D151">
        <f>IF(ISNUMBER(C151),AVERAGEIFS($C$5:$C$504,$A$5:$A$504,A151,$B$5:$B$504,B151),"")</f>
        <v/>
      </c>
    </row>
    <row r="152">
      <c r="A152" s="4" t="n"/>
      <c r="B152" s="4" t="n"/>
      <c r="C152" s="4" t="n"/>
      <c r="D152">
        <f>IF(ISNUMBER(C152),AVERAGEIFS($C$5:$C$504,$A$5:$A$504,A152,$B$5:$B$504,B152),"")</f>
        <v/>
      </c>
    </row>
    <row r="153">
      <c r="A153" s="4" t="n"/>
      <c r="B153" s="4" t="n"/>
      <c r="C153" s="4" t="n"/>
      <c r="D153">
        <f>IF(ISNUMBER(C153),AVERAGEIFS($C$5:$C$504,$A$5:$A$504,A153,$B$5:$B$504,B153),"")</f>
        <v/>
      </c>
    </row>
    <row r="154">
      <c r="A154" s="4" t="n"/>
      <c r="B154" s="4" t="n"/>
      <c r="C154" s="4" t="n"/>
      <c r="D154">
        <f>IF(ISNUMBER(C154),AVERAGEIFS($C$5:$C$504,$A$5:$A$504,A154,$B$5:$B$504,B154),"")</f>
        <v/>
      </c>
    </row>
    <row r="155">
      <c r="A155" s="4" t="n"/>
      <c r="B155" s="4" t="n"/>
      <c r="C155" s="4" t="n"/>
      <c r="D155">
        <f>IF(ISNUMBER(C155),AVERAGEIFS($C$5:$C$504,$A$5:$A$504,A155,$B$5:$B$504,B155),"")</f>
        <v/>
      </c>
    </row>
    <row r="156">
      <c r="A156" s="4" t="n"/>
      <c r="B156" s="4" t="n"/>
      <c r="C156" s="4" t="n"/>
      <c r="D156">
        <f>IF(ISNUMBER(C156),AVERAGEIFS($C$5:$C$504,$A$5:$A$504,A156,$B$5:$B$504,B156),"")</f>
        <v/>
      </c>
    </row>
    <row r="157">
      <c r="A157" s="4" t="n"/>
      <c r="B157" s="4" t="n"/>
      <c r="C157" s="4" t="n"/>
      <c r="D157">
        <f>IF(ISNUMBER(C157),AVERAGEIFS($C$5:$C$504,$A$5:$A$504,A157,$B$5:$B$504,B157),"")</f>
        <v/>
      </c>
    </row>
    <row r="158">
      <c r="A158" s="4" t="n"/>
      <c r="B158" s="4" t="n"/>
      <c r="C158" s="4" t="n"/>
      <c r="D158">
        <f>IF(ISNUMBER(C158),AVERAGEIFS($C$5:$C$504,$A$5:$A$504,A158,$B$5:$B$504,B158),"")</f>
        <v/>
      </c>
    </row>
    <row r="159">
      <c r="A159" s="4" t="n"/>
      <c r="B159" s="4" t="n"/>
      <c r="C159" s="4" t="n"/>
      <c r="D159">
        <f>IF(ISNUMBER(C159),AVERAGEIFS($C$5:$C$504,$A$5:$A$504,A159,$B$5:$B$504,B159),"")</f>
        <v/>
      </c>
    </row>
    <row r="160">
      <c r="A160" s="4" t="n"/>
      <c r="B160" s="4" t="n"/>
      <c r="C160" s="4" t="n"/>
      <c r="D160">
        <f>IF(ISNUMBER(C160),AVERAGEIFS($C$5:$C$504,$A$5:$A$504,A160,$B$5:$B$504,B160),"")</f>
        <v/>
      </c>
    </row>
    <row r="161">
      <c r="A161" s="4" t="n"/>
      <c r="B161" s="4" t="n"/>
      <c r="C161" s="4" t="n"/>
      <c r="D161">
        <f>IF(ISNUMBER(C161),AVERAGEIFS($C$5:$C$504,$A$5:$A$504,A161,$B$5:$B$504,B161),"")</f>
        <v/>
      </c>
    </row>
    <row r="162">
      <c r="A162" s="4" t="n"/>
      <c r="B162" s="4" t="n"/>
      <c r="C162" s="4" t="n"/>
      <c r="D162">
        <f>IF(ISNUMBER(C162),AVERAGEIFS($C$5:$C$504,$A$5:$A$504,A162,$B$5:$B$504,B162),"")</f>
        <v/>
      </c>
    </row>
    <row r="163">
      <c r="A163" s="4" t="n"/>
      <c r="B163" s="4" t="n"/>
      <c r="C163" s="4" t="n"/>
      <c r="D163">
        <f>IF(ISNUMBER(C163),AVERAGEIFS($C$5:$C$504,$A$5:$A$504,A163,$B$5:$B$504,B163),"")</f>
        <v/>
      </c>
    </row>
    <row r="164">
      <c r="A164" s="4" t="n"/>
      <c r="B164" s="4" t="n"/>
      <c r="C164" s="4" t="n"/>
      <c r="D164">
        <f>IF(ISNUMBER(C164),AVERAGEIFS($C$5:$C$504,$A$5:$A$504,A164,$B$5:$B$504,B164),"")</f>
        <v/>
      </c>
    </row>
    <row r="165">
      <c r="A165" s="4" t="n"/>
      <c r="B165" s="4" t="n"/>
      <c r="C165" s="4" t="n"/>
      <c r="D165">
        <f>IF(ISNUMBER(C165),AVERAGEIFS($C$5:$C$504,$A$5:$A$504,A165,$B$5:$B$504,B165),"")</f>
        <v/>
      </c>
    </row>
    <row r="166">
      <c r="A166" s="4" t="n"/>
      <c r="B166" s="4" t="n"/>
      <c r="C166" s="4" t="n"/>
      <c r="D166">
        <f>IF(ISNUMBER(C166),AVERAGEIFS($C$5:$C$504,$A$5:$A$504,A166,$B$5:$B$504,B166),"")</f>
        <v/>
      </c>
    </row>
    <row r="167">
      <c r="A167" s="4" t="n"/>
      <c r="B167" s="4" t="n"/>
      <c r="C167" s="4" t="n"/>
      <c r="D167">
        <f>IF(ISNUMBER(C167),AVERAGEIFS($C$5:$C$504,$A$5:$A$504,A167,$B$5:$B$504,B167),"")</f>
        <v/>
      </c>
    </row>
    <row r="168">
      <c r="A168" s="4" t="n"/>
      <c r="B168" s="4" t="n"/>
      <c r="C168" s="4" t="n"/>
      <c r="D168">
        <f>IF(ISNUMBER(C168),AVERAGEIFS($C$5:$C$504,$A$5:$A$504,A168,$B$5:$B$504,B168),"")</f>
        <v/>
      </c>
    </row>
    <row r="169">
      <c r="A169" s="4" t="n"/>
      <c r="B169" s="4" t="n"/>
      <c r="C169" s="4" t="n"/>
      <c r="D169">
        <f>IF(ISNUMBER(C169),AVERAGEIFS($C$5:$C$504,$A$5:$A$504,A169,$B$5:$B$504,B169),"")</f>
        <v/>
      </c>
    </row>
    <row r="170">
      <c r="A170" s="4" t="n"/>
      <c r="B170" s="4" t="n"/>
      <c r="C170" s="4" t="n"/>
      <c r="D170">
        <f>IF(ISNUMBER(C170),AVERAGEIFS($C$5:$C$504,$A$5:$A$504,A170,$B$5:$B$504,B170),"")</f>
        <v/>
      </c>
    </row>
    <row r="171">
      <c r="A171" s="4" t="n"/>
      <c r="B171" s="4" t="n"/>
      <c r="C171" s="4" t="n"/>
      <c r="D171">
        <f>IF(ISNUMBER(C171),AVERAGEIFS($C$5:$C$504,$A$5:$A$504,A171,$B$5:$B$504,B171),"")</f>
        <v/>
      </c>
    </row>
    <row r="172">
      <c r="A172" s="4" t="n"/>
      <c r="B172" s="4" t="n"/>
      <c r="C172" s="4" t="n"/>
      <c r="D172">
        <f>IF(ISNUMBER(C172),AVERAGEIFS($C$5:$C$504,$A$5:$A$504,A172,$B$5:$B$504,B172),"")</f>
        <v/>
      </c>
    </row>
    <row r="173">
      <c r="A173" s="4" t="n"/>
      <c r="B173" s="4" t="n"/>
      <c r="C173" s="4" t="n"/>
      <c r="D173">
        <f>IF(ISNUMBER(C173),AVERAGEIFS($C$5:$C$504,$A$5:$A$504,A173,$B$5:$B$504,B173),"")</f>
        <v/>
      </c>
    </row>
    <row r="174">
      <c r="A174" s="4" t="n"/>
      <c r="B174" s="4" t="n"/>
      <c r="C174" s="4" t="n"/>
      <c r="D174">
        <f>IF(ISNUMBER(C174),AVERAGEIFS($C$5:$C$504,$A$5:$A$504,A174,$B$5:$B$504,B174),"")</f>
        <v/>
      </c>
    </row>
    <row r="175">
      <c r="A175" s="4" t="n"/>
      <c r="B175" s="4" t="n"/>
      <c r="C175" s="4" t="n"/>
      <c r="D175">
        <f>IF(ISNUMBER(C175),AVERAGEIFS($C$5:$C$504,$A$5:$A$504,A175,$B$5:$B$504,B175),"")</f>
        <v/>
      </c>
    </row>
    <row r="176">
      <c r="A176" s="4" t="n"/>
      <c r="B176" s="4" t="n"/>
      <c r="C176" s="4" t="n"/>
      <c r="D176">
        <f>IF(ISNUMBER(C176),AVERAGEIFS($C$5:$C$504,$A$5:$A$504,A176,$B$5:$B$504,B176),"")</f>
        <v/>
      </c>
    </row>
    <row r="177">
      <c r="A177" s="4" t="n"/>
      <c r="B177" s="4" t="n"/>
      <c r="C177" s="4" t="n"/>
      <c r="D177">
        <f>IF(ISNUMBER(C177),AVERAGEIFS($C$5:$C$504,$A$5:$A$504,A177,$B$5:$B$504,B177),"")</f>
        <v/>
      </c>
    </row>
    <row r="178">
      <c r="A178" s="4" t="n"/>
      <c r="B178" s="4" t="n"/>
      <c r="C178" s="4" t="n"/>
      <c r="D178">
        <f>IF(ISNUMBER(C178),AVERAGEIFS($C$5:$C$504,$A$5:$A$504,A178,$B$5:$B$504,B178),"")</f>
        <v/>
      </c>
    </row>
    <row r="179">
      <c r="A179" s="4" t="n"/>
      <c r="B179" s="4" t="n"/>
      <c r="C179" s="4" t="n"/>
      <c r="D179">
        <f>IF(ISNUMBER(C179),AVERAGEIFS($C$5:$C$504,$A$5:$A$504,A179,$B$5:$B$504,B179),"")</f>
        <v/>
      </c>
    </row>
    <row r="180">
      <c r="A180" s="4" t="n"/>
      <c r="B180" s="4" t="n"/>
      <c r="C180" s="4" t="n"/>
      <c r="D180">
        <f>IF(ISNUMBER(C180),AVERAGEIFS($C$5:$C$504,$A$5:$A$504,A180,$B$5:$B$504,B180),"")</f>
        <v/>
      </c>
    </row>
    <row r="181">
      <c r="A181" s="4" t="n"/>
      <c r="B181" s="4" t="n"/>
      <c r="C181" s="4" t="n"/>
      <c r="D181">
        <f>IF(ISNUMBER(C181),AVERAGEIFS($C$5:$C$504,$A$5:$A$504,A181,$B$5:$B$504,B181),"")</f>
        <v/>
      </c>
    </row>
    <row r="182">
      <c r="A182" s="4" t="n"/>
      <c r="B182" s="4" t="n"/>
      <c r="C182" s="4" t="n"/>
      <c r="D182">
        <f>IF(ISNUMBER(C182),AVERAGEIFS($C$5:$C$504,$A$5:$A$504,A182,$B$5:$B$504,B182),"")</f>
        <v/>
      </c>
    </row>
    <row r="183">
      <c r="A183" s="4" t="n"/>
      <c r="B183" s="4" t="n"/>
      <c r="C183" s="4" t="n"/>
      <c r="D183">
        <f>IF(ISNUMBER(C183),AVERAGEIFS($C$5:$C$504,$A$5:$A$504,A183,$B$5:$B$504,B183),"")</f>
        <v/>
      </c>
    </row>
    <row r="184">
      <c r="A184" s="4" t="n"/>
      <c r="B184" s="4" t="n"/>
      <c r="C184" s="4" t="n"/>
      <c r="D184">
        <f>IF(ISNUMBER(C184),AVERAGEIFS($C$5:$C$504,$A$5:$A$504,A184,$B$5:$B$504,B184),"")</f>
        <v/>
      </c>
    </row>
    <row r="185">
      <c r="A185" s="4" t="n"/>
      <c r="B185" s="4" t="n"/>
      <c r="C185" s="4" t="n"/>
      <c r="D185">
        <f>IF(ISNUMBER(C185),AVERAGEIFS($C$5:$C$504,$A$5:$A$504,A185,$B$5:$B$504,B185),"")</f>
        <v/>
      </c>
    </row>
    <row r="186">
      <c r="A186" s="4" t="n"/>
      <c r="B186" s="4" t="n"/>
      <c r="C186" s="4" t="n"/>
      <c r="D186">
        <f>IF(ISNUMBER(C186),AVERAGEIFS($C$5:$C$504,$A$5:$A$504,A186,$B$5:$B$504,B186),"")</f>
        <v/>
      </c>
    </row>
    <row r="187">
      <c r="A187" s="4" t="n"/>
      <c r="B187" s="4" t="n"/>
      <c r="C187" s="4" t="n"/>
      <c r="D187">
        <f>IF(ISNUMBER(C187),AVERAGEIFS($C$5:$C$504,$A$5:$A$504,A187,$B$5:$B$504,B187),"")</f>
        <v/>
      </c>
    </row>
    <row r="188">
      <c r="A188" s="4" t="n"/>
      <c r="B188" s="4" t="n"/>
      <c r="C188" s="4" t="n"/>
      <c r="D188">
        <f>IF(ISNUMBER(C188),AVERAGEIFS($C$5:$C$504,$A$5:$A$504,A188,$B$5:$B$504,B188),"")</f>
        <v/>
      </c>
    </row>
    <row r="189">
      <c r="A189" s="4" t="n"/>
      <c r="B189" s="4" t="n"/>
      <c r="C189" s="4" t="n"/>
      <c r="D189">
        <f>IF(ISNUMBER(C189),AVERAGEIFS($C$5:$C$504,$A$5:$A$504,A189,$B$5:$B$504,B189),"")</f>
        <v/>
      </c>
    </row>
    <row r="190">
      <c r="A190" s="4" t="n"/>
      <c r="B190" s="4" t="n"/>
      <c r="C190" s="4" t="n"/>
      <c r="D190">
        <f>IF(ISNUMBER(C190),AVERAGEIFS($C$5:$C$504,$A$5:$A$504,A190,$B$5:$B$504,B190),"")</f>
        <v/>
      </c>
    </row>
    <row r="191">
      <c r="A191" s="4" t="n"/>
      <c r="B191" s="4" t="n"/>
      <c r="C191" s="4" t="n"/>
      <c r="D191">
        <f>IF(ISNUMBER(C191),AVERAGEIFS($C$5:$C$504,$A$5:$A$504,A191,$B$5:$B$504,B191),"")</f>
        <v/>
      </c>
    </row>
    <row r="192">
      <c r="A192" s="4" t="n"/>
      <c r="B192" s="4" t="n"/>
      <c r="C192" s="4" t="n"/>
      <c r="D192">
        <f>IF(ISNUMBER(C192),AVERAGEIFS($C$5:$C$504,$A$5:$A$504,A192,$B$5:$B$504,B192),"")</f>
        <v/>
      </c>
    </row>
    <row r="193">
      <c r="A193" s="4" t="n"/>
      <c r="B193" s="4" t="n"/>
      <c r="C193" s="4" t="n"/>
      <c r="D193">
        <f>IF(ISNUMBER(C193),AVERAGEIFS($C$5:$C$504,$A$5:$A$504,A193,$B$5:$B$504,B193),"")</f>
        <v/>
      </c>
    </row>
    <row r="194">
      <c r="A194" s="4" t="n"/>
      <c r="B194" s="4" t="n"/>
      <c r="C194" s="4" t="n"/>
      <c r="D194">
        <f>IF(ISNUMBER(C194),AVERAGEIFS($C$5:$C$504,$A$5:$A$504,A194,$B$5:$B$504,B194),"")</f>
        <v/>
      </c>
    </row>
    <row r="195">
      <c r="A195" s="4" t="n"/>
      <c r="B195" s="4" t="n"/>
      <c r="C195" s="4" t="n"/>
      <c r="D195">
        <f>IF(ISNUMBER(C195),AVERAGEIFS($C$5:$C$504,$A$5:$A$504,A195,$B$5:$B$504,B195),"")</f>
        <v/>
      </c>
    </row>
    <row r="196">
      <c r="A196" s="4" t="n"/>
      <c r="B196" s="4" t="n"/>
      <c r="C196" s="4" t="n"/>
      <c r="D196">
        <f>IF(ISNUMBER(C196),AVERAGEIFS($C$5:$C$504,$A$5:$A$504,A196,$B$5:$B$504,B196),"")</f>
        <v/>
      </c>
    </row>
    <row r="197">
      <c r="A197" s="4" t="n"/>
      <c r="B197" s="4" t="n"/>
      <c r="C197" s="4" t="n"/>
      <c r="D197">
        <f>IF(ISNUMBER(C197),AVERAGEIFS($C$5:$C$504,$A$5:$A$504,A197,$B$5:$B$504,B197),"")</f>
        <v/>
      </c>
    </row>
    <row r="198">
      <c r="A198" s="4" t="n"/>
      <c r="B198" s="4" t="n"/>
      <c r="C198" s="4" t="n"/>
      <c r="D198">
        <f>IF(ISNUMBER(C198),AVERAGEIFS($C$5:$C$504,$A$5:$A$504,A198,$B$5:$B$504,B198),"")</f>
        <v/>
      </c>
    </row>
    <row r="199">
      <c r="A199" s="4" t="n"/>
      <c r="B199" s="4" t="n"/>
      <c r="C199" s="4" t="n"/>
      <c r="D199">
        <f>IF(ISNUMBER(C199),AVERAGEIFS($C$5:$C$504,$A$5:$A$504,A199,$B$5:$B$504,B199),"")</f>
        <v/>
      </c>
    </row>
    <row r="200">
      <c r="A200" s="4" t="n"/>
      <c r="B200" s="4" t="n"/>
      <c r="C200" s="4" t="n"/>
      <c r="D200">
        <f>IF(ISNUMBER(C200),AVERAGEIFS($C$5:$C$504,$A$5:$A$504,A200,$B$5:$B$504,B200),"")</f>
        <v/>
      </c>
    </row>
    <row r="201">
      <c r="A201" s="4" t="n"/>
      <c r="B201" s="4" t="n"/>
      <c r="C201" s="4" t="n"/>
      <c r="D201">
        <f>IF(ISNUMBER(C201),AVERAGEIFS($C$5:$C$504,$A$5:$A$504,A201,$B$5:$B$504,B201),"")</f>
        <v/>
      </c>
    </row>
    <row r="202">
      <c r="A202" s="4" t="n"/>
      <c r="B202" s="4" t="n"/>
      <c r="C202" s="4" t="n"/>
      <c r="D202">
        <f>IF(ISNUMBER(C202),AVERAGEIFS($C$5:$C$504,$A$5:$A$504,A202,$B$5:$B$504,B202),"")</f>
        <v/>
      </c>
    </row>
    <row r="203">
      <c r="A203" s="4" t="n"/>
      <c r="B203" s="4" t="n"/>
      <c r="C203" s="4" t="n"/>
      <c r="D203">
        <f>IF(ISNUMBER(C203),AVERAGEIFS($C$5:$C$504,$A$5:$A$504,A203,$B$5:$B$504,B203),"")</f>
        <v/>
      </c>
    </row>
    <row r="204">
      <c r="A204" s="4" t="n"/>
      <c r="B204" s="4" t="n"/>
      <c r="C204" s="4" t="n"/>
      <c r="D204">
        <f>IF(ISNUMBER(C204),AVERAGEIFS($C$5:$C$504,$A$5:$A$504,A204,$B$5:$B$504,B204),"")</f>
        <v/>
      </c>
    </row>
    <row r="205">
      <c r="A205" s="4" t="n"/>
      <c r="B205" s="4" t="n"/>
      <c r="C205" s="4" t="n"/>
      <c r="D205">
        <f>IF(ISNUMBER(C205),AVERAGEIFS($C$5:$C$504,$A$5:$A$504,A205,$B$5:$B$504,B205),"")</f>
        <v/>
      </c>
    </row>
    <row r="206">
      <c r="A206" s="4" t="n"/>
      <c r="B206" s="4" t="n"/>
      <c r="C206" s="4" t="n"/>
      <c r="D206">
        <f>IF(ISNUMBER(C206),AVERAGEIFS($C$5:$C$504,$A$5:$A$504,A206,$B$5:$B$504,B206),"")</f>
        <v/>
      </c>
    </row>
    <row r="207">
      <c r="A207" s="4" t="n"/>
      <c r="B207" s="4" t="n"/>
      <c r="C207" s="4" t="n"/>
      <c r="D207">
        <f>IF(ISNUMBER(C207),AVERAGEIFS($C$5:$C$504,$A$5:$A$504,A207,$B$5:$B$504,B207),"")</f>
        <v/>
      </c>
    </row>
    <row r="208">
      <c r="A208" s="4" t="n"/>
      <c r="B208" s="4" t="n"/>
      <c r="C208" s="4" t="n"/>
      <c r="D208">
        <f>IF(ISNUMBER(C208),AVERAGEIFS($C$5:$C$504,$A$5:$A$504,A208,$B$5:$B$504,B208),"")</f>
        <v/>
      </c>
    </row>
    <row r="209">
      <c r="A209" s="4" t="n"/>
      <c r="B209" s="4" t="n"/>
      <c r="C209" s="4" t="n"/>
      <c r="D209">
        <f>IF(ISNUMBER(C209),AVERAGEIFS($C$5:$C$504,$A$5:$A$504,A209,$B$5:$B$504,B209),"")</f>
        <v/>
      </c>
    </row>
    <row r="210">
      <c r="A210" s="4" t="n"/>
      <c r="B210" s="4" t="n"/>
      <c r="C210" s="4" t="n"/>
      <c r="D210">
        <f>IF(ISNUMBER(C210),AVERAGEIFS($C$5:$C$504,$A$5:$A$504,A210,$B$5:$B$504,B210),"")</f>
        <v/>
      </c>
    </row>
    <row r="211">
      <c r="A211" s="4" t="n"/>
      <c r="B211" s="4" t="n"/>
      <c r="C211" s="4" t="n"/>
      <c r="D211">
        <f>IF(ISNUMBER(C211),AVERAGEIFS($C$5:$C$504,$A$5:$A$504,A211,$B$5:$B$504,B211),"")</f>
        <v/>
      </c>
    </row>
    <row r="212">
      <c r="A212" s="4" t="n"/>
      <c r="B212" s="4" t="n"/>
      <c r="C212" s="4" t="n"/>
      <c r="D212">
        <f>IF(ISNUMBER(C212),AVERAGEIFS($C$5:$C$504,$A$5:$A$504,A212,$B$5:$B$504,B212),"")</f>
        <v/>
      </c>
    </row>
    <row r="213">
      <c r="A213" s="4" t="n"/>
      <c r="B213" s="4" t="n"/>
      <c r="C213" s="4" t="n"/>
      <c r="D213">
        <f>IF(ISNUMBER(C213),AVERAGEIFS($C$5:$C$504,$A$5:$A$504,A213,$B$5:$B$504,B213),"")</f>
        <v/>
      </c>
    </row>
    <row r="214">
      <c r="A214" s="4" t="n"/>
      <c r="B214" s="4" t="n"/>
      <c r="C214" s="4" t="n"/>
      <c r="D214">
        <f>IF(ISNUMBER(C214),AVERAGEIFS($C$5:$C$504,$A$5:$A$504,A214,$B$5:$B$504,B214),"")</f>
        <v/>
      </c>
    </row>
    <row r="215">
      <c r="A215" s="4" t="n"/>
      <c r="B215" s="4" t="n"/>
      <c r="C215" s="4" t="n"/>
      <c r="D215">
        <f>IF(ISNUMBER(C215),AVERAGEIFS($C$5:$C$504,$A$5:$A$504,A215,$B$5:$B$504,B215),"")</f>
        <v/>
      </c>
    </row>
    <row r="216">
      <c r="A216" s="4" t="n"/>
      <c r="B216" s="4" t="n"/>
      <c r="C216" s="4" t="n"/>
      <c r="D216">
        <f>IF(ISNUMBER(C216),AVERAGEIFS($C$5:$C$504,$A$5:$A$504,A216,$B$5:$B$504,B216),"")</f>
        <v/>
      </c>
    </row>
    <row r="217">
      <c r="A217" s="4" t="n"/>
      <c r="B217" s="4" t="n"/>
      <c r="C217" s="4" t="n"/>
      <c r="D217">
        <f>IF(ISNUMBER(C217),AVERAGEIFS($C$5:$C$504,$A$5:$A$504,A217,$B$5:$B$504,B217),"")</f>
        <v/>
      </c>
    </row>
    <row r="218">
      <c r="A218" s="4" t="n"/>
      <c r="B218" s="4" t="n"/>
      <c r="C218" s="4" t="n"/>
      <c r="D218">
        <f>IF(ISNUMBER(C218),AVERAGEIFS($C$5:$C$504,$A$5:$A$504,A218,$B$5:$B$504,B218),"")</f>
        <v/>
      </c>
    </row>
    <row r="219">
      <c r="A219" s="4" t="n"/>
      <c r="B219" s="4" t="n"/>
      <c r="C219" s="4" t="n"/>
      <c r="D219">
        <f>IF(ISNUMBER(C219),AVERAGEIFS($C$5:$C$504,$A$5:$A$504,A219,$B$5:$B$504,B219),"")</f>
        <v/>
      </c>
    </row>
    <row r="220">
      <c r="A220" s="4" t="n"/>
      <c r="B220" s="4" t="n"/>
      <c r="C220" s="4" t="n"/>
      <c r="D220">
        <f>IF(ISNUMBER(C220),AVERAGEIFS($C$5:$C$504,$A$5:$A$504,A220,$B$5:$B$504,B220),"")</f>
        <v/>
      </c>
    </row>
    <row r="221">
      <c r="A221" s="4" t="n"/>
      <c r="B221" s="4" t="n"/>
      <c r="C221" s="4" t="n"/>
      <c r="D221">
        <f>IF(ISNUMBER(C221),AVERAGEIFS($C$5:$C$504,$A$5:$A$504,A221,$B$5:$B$504,B221),"")</f>
        <v/>
      </c>
    </row>
    <row r="222">
      <c r="A222" s="4" t="n"/>
      <c r="B222" s="4" t="n"/>
      <c r="C222" s="4" t="n"/>
      <c r="D222">
        <f>IF(ISNUMBER(C222),AVERAGEIFS($C$5:$C$504,$A$5:$A$504,A222,$B$5:$B$504,B222),"")</f>
        <v/>
      </c>
    </row>
    <row r="223">
      <c r="A223" s="4" t="n"/>
      <c r="B223" s="4" t="n"/>
      <c r="C223" s="4" t="n"/>
      <c r="D223">
        <f>IF(ISNUMBER(C223),AVERAGEIFS($C$5:$C$504,$A$5:$A$504,A223,$B$5:$B$504,B223),"")</f>
        <v/>
      </c>
    </row>
    <row r="224">
      <c r="A224" s="4" t="n"/>
      <c r="B224" s="4" t="n"/>
      <c r="C224" s="4" t="n"/>
      <c r="D224">
        <f>IF(ISNUMBER(C224),AVERAGEIFS($C$5:$C$504,$A$5:$A$504,A224,$B$5:$B$504,B224),"")</f>
        <v/>
      </c>
    </row>
    <row r="225">
      <c r="A225" s="4" t="n"/>
      <c r="B225" s="4" t="n"/>
      <c r="C225" s="4" t="n"/>
      <c r="D225">
        <f>IF(ISNUMBER(C225),AVERAGEIFS($C$5:$C$504,$A$5:$A$504,A225,$B$5:$B$504,B225),"")</f>
        <v/>
      </c>
    </row>
    <row r="226">
      <c r="A226" s="4" t="n"/>
      <c r="B226" s="4" t="n"/>
      <c r="C226" s="4" t="n"/>
      <c r="D226">
        <f>IF(ISNUMBER(C226),AVERAGEIFS($C$5:$C$504,$A$5:$A$504,A226,$B$5:$B$504,B226),"")</f>
        <v/>
      </c>
    </row>
    <row r="227">
      <c r="A227" s="4" t="n"/>
      <c r="B227" s="4" t="n"/>
      <c r="C227" s="4" t="n"/>
      <c r="D227">
        <f>IF(ISNUMBER(C227),AVERAGEIFS($C$5:$C$504,$A$5:$A$504,A227,$B$5:$B$504,B227),"")</f>
        <v/>
      </c>
    </row>
    <row r="228">
      <c r="A228" s="4" t="n"/>
      <c r="B228" s="4" t="n"/>
      <c r="C228" s="4" t="n"/>
      <c r="D228">
        <f>IF(ISNUMBER(C228),AVERAGEIFS($C$5:$C$504,$A$5:$A$504,A228,$B$5:$B$504,B228),"")</f>
        <v/>
      </c>
    </row>
    <row r="229">
      <c r="A229" s="4" t="n"/>
      <c r="B229" s="4" t="n"/>
      <c r="C229" s="4" t="n"/>
      <c r="D229">
        <f>IF(ISNUMBER(C229),AVERAGEIFS($C$5:$C$504,$A$5:$A$504,A229,$B$5:$B$504,B229),"")</f>
        <v/>
      </c>
    </row>
    <row r="230">
      <c r="A230" s="4" t="n"/>
      <c r="B230" s="4" t="n"/>
      <c r="C230" s="4" t="n"/>
      <c r="D230">
        <f>IF(ISNUMBER(C230),AVERAGEIFS($C$5:$C$504,$A$5:$A$504,A230,$B$5:$B$504,B230),"")</f>
        <v/>
      </c>
    </row>
    <row r="231">
      <c r="A231" s="4" t="n"/>
      <c r="B231" s="4" t="n"/>
      <c r="C231" s="4" t="n"/>
      <c r="D231">
        <f>IF(ISNUMBER(C231),AVERAGEIFS($C$5:$C$504,$A$5:$A$504,A231,$B$5:$B$504,B231),"")</f>
        <v/>
      </c>
    </row>
    <row r="232">
      <c r="A232" s="4" t="n"/>
      <c r="B232" s="4" t="n"/>
      <c r="C232" s="4" t="n"/>
      <c r="D232">
        <f>IF(ISNUMBER(C232),AVERAGEIFS($C$5:$C$504,$A$5:$A$504,A232,$B$5:$B$504,B232),"")</f>
        <v/>
      </c>
    </row>
    <row r="233">
      <c r="A233" s="4" t="n"/>
      <c r="B233" s="4" t="n"/>
      <c r="C233" s="4" t="n"/>
      <c r="D233">
        <f>IF(ISNUMBER(C233),AVERAGEIFS($C$5:$C$504,$A$5:$A$504,A233,$B$5:$B$504,B233),"")</f>
        <v/>
      </c>
    </row>
    <row r="234">
      <c r="A234" s="4" t="n"/>
      <c r="B234" s="4" t="n"/>
      <c r="C234" s="4" t="n"/>
      <c r="D234">
        <f>IF(ISNUMBER(C234),AVERAGEIFS($C$5:$C$504,$A$5:$A$504,A234,$B$5:$B$504,B234),"")</f>
        <v/>
      </c>
    </row>
    <row r="235">
      <c r="A235" s="4" t="n"/>
      <c r="B235" s="4" t="n"/>
      <c r="C235" s="4" t="n"/>
      <c r="D235">
        <f>IF(ISNUMBER(C235),AVERAGEIFS($C$5:$C$504,$A$5:$A$504,A235,$B$5:$B$504,B235),"")</f>
        <v/>
      </c>
    </row>
    <row r="236">
      <c r="A236" s="4" t="n"/>
      <c r="B236" s="4" t="n"/>
      <c r="C236" s="4" t="n"/>
      <c r="D236">
        <f>IF(ISNUMBER(C236),AVERAGEIFS($C$5:$C$504,$A$5:$A$504,A236,$B$5:$B$504,B236),"")</f>
        <v/>
      </c>
    </row>
    <row r="237">
      <c r="A237" s="4" t="n"/>
      <c r="B237" s="4" t="n"/>
      <c r="C237" s="4" t="n"/>
      <c r="D237">
        <f>IF(ISNUMBER(C237),AVERAGEIFS($C$5:$C$504,$A$5:$A$504,A237,$B$5:$B$504,B237),"")</f>
        <v/>
      </c>
    </row>
    <row r="238">
      <c r="A238" s="4" t="n"/>
      <c r="B238" s="4" t="n"/>
      <c r="C238" s="4" t="n"/>
      <c r="D238">
        <f>IF(ISNUMBER(C238),AVERAGEIFS($C$5:$C$504,$A$5:$A$504,A238,$B$5:$B$504,B238),"")</f>
        <v/>
      </c>
    </row>
    <row r="239">
      <c r="A239" s="4" t="n"/>
      <c r="B239" s="4" t="n"/>
      <c r="C239" s="4" t="n"/>
      <c r="D239">
        <f>IF(ISNUMBER(C239),AVERAGEIFS($C$5:$C$504,$A$5:$A$504,A239,$B$5:$B$504,B239),"")</f>
        <v/>
      </c>
    </row>
    <row r="240">
      <c r="A240" s="4" t="n"/>
      <c r="B240" s="4" t="n"/>
      <c r="C240" s="4" t="n"/>
      <c r="D240">
        <f>IF(ISNUMBER(C240),AVERAGEIFS($C$5:$C$504,$A$5:$A$504,A240,$B$5:$B$504,B240),"")</f>
        <v/>
      </c>
    </row>
    <row r="241">
      <c r="A241" s="4" t="n"/>
      <c r="B241" s="4" t="n"/>
      <c r="C241" s="4" t="n"/>
      <c r="D241">
        <f>IF(ISNUMBER(C241),AVERAGEIFS($C$5:$C$504,$A$5:$A$504,A241,$B$5:$B$504,B241),"")</f>
        <v/>
      </c>
    </row>
    <row r="242">
      <c r="A242" s="4" t="n"/>
      <c r="B242" s="4" t="n"/>
      <c r="C242" s="4" t="n"/>
      <c r="D242">
        <f>IF(ISNUMBER(C242),AVERAGEIFS($C$5:$C$504,$A$5:$A$504,A242,$B$5:$B$504,B242),"")</f>
        <v/>
      </c>
    </row>
    <row r="243">
      <c r="A243" s="4" t="n"/>
      <c r="B243" s="4" t="n"/>
      <c r="C243" s="4" t="n"/>
      <c r="D243">
        <f>IF(ISNUMBER(C243),AVERAGEIFS($C$5:$C$504,$A$5:$A$504,A243,$B$5:$B$504,B243),"")</f>
        <v/>
      </c>
    </row>
    <row r="244">
      <c r="A244" s="4" t="n"/>
      <c r="B244" s="4" t="n"/>
      <c r="C244" s="4" t="n"/>
      <c r="D244">
        <f>IF(ISNUMBER(C244),AVERAGEIFS($C$5:$C$504,$A$5:$A$504,A244,$B$5:$B$504,B244),"")</f>
        <v/>
      </c>
    </row>
    <row r="245">
      <c r="A245" s="4" t="n"/>
      <c r="B245" s="4" t="n"/>
      <c r="C245" s="4" t="n"/>
      <c r="D245">
        <f>IF(ISNUMBER(C245),AVERAGEIFS($C$5:$C$504,$A$5:$A$504,A245,$B$5:$B$504,B245),"")</f>
        <v/>
      </c>
    </row>
    <row r="246">
      <c r="A246" s="4" t="n"/>
      <c r="B246" s="4" t="n"/>
      <c r="C246" s="4" t="n"/>
      <c r="D246">
        <f>IF(ISNUMBER(C246),AVERAGEIFS($C$5:$C$504,$A$5:$A$504,A246,$B$5:$B$504,B246),"")</f>
        <v/>
      </c>
    </row>
    <row r="247">
      <c r="A247" s="4" t="n"/>
      <c r="B247" s="4" t="n"/>
      <c r="C247" s="4" t="n"/>
      <c r="D247">
        <f>IF(ISNUMBER(C247),AVERAGEIFS($C$5:$C$504,$A$5:$A$504,A247,$B$5:$B$504,B247),"")</f>
        <v/>
      </c>
    </row>
    <row r="248">
      <c r="A248" s="4" t="n"/>
      <c r="B248" s="4" t="n"/>
      <c r="C248" s="4" t="n"/>
      <c r="D248">
        <f>IF(ISNUMBER(C248),AVERAGEIFS($C$5:$C$504,$A$5:$A$504,A248,$B$5:$B$504,B248),"")</f>
        <v/>
      </c>
    </row>
    <row r="249">
      <c r="A249" s="4" t="n"/>
      <c r="B249" s="4" t="n"/>
      <c r="C249" s="4" t="n"/>
      <c r="D249">
        <f>IF(ISNUMBER(C249),AVERAGEIFS($C$5:$C$504,$A$5:$A$504,A249,$B$5:$B$504,B249),"")</f>
        <v/>
      </c>
    </row>
    <row r="250">
      <c r="A250" s="4" t="n"/>
      <c r="B250" s="4" t="n"/>
      <c r="C250" s="4" t="n"/>
      <c r="D250">
        <f>IF(ISNUMBER(C250),AVERAGEIFS($C$5:$C$504,$A$5:$A$504,A250,$B$5:$B$504,B250),"")</f>
        <v/>
      </c>
    </row>
    <row r="251">
      <c r="A251" s="4" t="n"/>
      <c r="B251" s="4" t="n"/>
      <c r="C251" s="4" t="n"/>
      <c r="D251">
        <f>IF(ISNUMBER(C251),AVERAGEIFS($C$5:$C$504,$A$5:$A$504,A251,$B$5:$B$504,B251),"")</f>
        <v/>
      </c>
    </row>
    <row r="252">
      <c r="A252" s="4" t="n"/>
      <c r="B252" s="4" t="n"/>
      <c r="C252" s="4" t="n"/>
      <c r="D252">
        <f>IF(ISNUMBER(C252),AVERAGEIFS($C$5:$C$504,$A$5:$A$504,A252,$B$5:$B$504,B252),"")</f>
        <v/>
      </c>
    </row>
    <row r="253">
      <c r="A253" s="4" t="n"/>
      <c r="B253" s="4" t="n"/>
      <c r="C253" s="4" t="n"/>
      <c r="D253">
        <f>IF(ISNUMBER(C253),AVERAGEIFS($C$5:$C$504,$A$5:$A$504,A253,$B$5:$B$504,B253),"")</f>
        <v/>
      </c>
    </row>
    <row r="254">
      <c r="A254" s="4" t="n"/>
      <c r="B254" s="4" t="n"/>
      <c r="C254" s="4" t="n"/>
      <c r="D254">
        <f>IF(ISNUMBER(C254),AVERAGEIFS($C$5:$C$504,$A$5:$A$504,A254,$B$5:$B$504,B254),"")</f>
        <v/>
      </c>
    </row>
    <row r="255">
      <c r="A255" s="4" t="n"/>
      <c r="B255" s="4" t="n"/>
      <c r="C255" s="4" t="n"/>
      <c r="D255">
        <f>IF(ISNUMBER(C255),AVERAGEIFS($C$5:$C$504,$A$5:$A$504,A255,$B$5:$B$504,B255),"")</f>
        <v/>
      </c>
    </row>
    <row r="256">
      <c r="A256" s="4" t="n"/>
      <c r="B256" s="4" t="n"/>
      <c r="C256" s="4" t="n"/>
      <c r="D256">
        <f>IF(ISNUMBER(C256),AVERAGEIFS($C$5:$C$504,$A$5:$A$504,A256,$B$5:$B$504,B256),"")</f>
        <v/>
      </c>
    </row>
    <row r="257">
      <c r="A257" s="4" t="n"/>
      <c r="B257" s="4" t="n"/>
      <c r="C257" s="4" t="n"/>
      <c r="D257">
        <f>IF(ISNUMBER(C257),AVERAGEIFS($C$5:$C$504,$A$5:$A$504,A257,$B$5:$B$504,B257),"")</f>
        <v/>
      </c>
    </row>
    <row r="258">
      <c r="A258" s="4" t="n"/>
      <c r="B258" s="4" t="n"/>
      <c r="C258" s="4" t="n"/>
      <c r="D258">
        <f>IF(ISNUMBER(C258),AVERAGEIFS($C$5:$C$504,$A$5:$A$504,A258,$B$5:$B$504,B258),"")</f>
        <v/>
      </c>
    </row>
    <row r="259">
      <c r="A259" s="4" t="n"/>
      <c r="B259" s="4" t="n"/>
      <c r="C259" s="4" t="n"/>
      <c r="D259">
        <f>IF(ISNUMBER(C259),AVERAGEIFS($C$5:$C$504,$A$5:$A$504,A259,$B$5:$B$504,B259),"")</f>
        <v/>
      </c>
    </row>
    <row r="260">
      <c r="A260" s="4" t="n"/>
      <c r="B260" s="4" t="n"/>
      <c r="C260" s="4" t="n"/>
      <c r="D260">
        <f>IF(ISNUMBER(C260),AVERAGEIFS($C$5:$C$504,$A$5:$A$504,A260,$B$5:$B$504,B260),"")</f>
        <v/>
      </c>
    </row>
    <row r="261">
      <c r="A261" s="4" t="n"/>
      <c r="B261" s="4" t="n"/>
      <c r="C261" s="4" t="n"/>
      <c r="D261">
        <f>IF(ISNUMBER(C261),AVERAGEIFS($C$5:$C$504,$A$5:$A$504,A261,$B$5:$B$504,B261),"")</f>
        <v/>
      </c>
    </row>
    <row r="262">
      <c r="A262" s="4" t="n"/>
      <c r="B262" s="4" t="n"/>
      <c r="C262" s="4" t="n"/>
      <c r="D262">
        <f>IF(ISNUMBER(C262),AVERAGEIFS($C$5:$C$504,$A$5:$A$504,A262,$B$5:$B$504,B262),"")</f>
        <v/>
      </c>
    </row>
    <row r="263">
      <c r="A263" s="4" t="n"/>
      <c r="B263" s="4" t="n"/>
      <c r="C263" s="4" t="n"/>
      <c r="D263">
        <f>IF(ISNUMBER(C263),AVERAGEIFS($C$5:$C$504,$A$5:$A$504,A263,$B$5:$B$504,B263),"")</f>
        <v/>
      </c>
    </row>
    <row r="264">
      <c r="A264" s="4" t="n"/>
      <c r="B264" s="4" t="n"/>
      <c r="C264" s="4" t="n"/>
      <c r="D264">
        <f>IF(ISNUMBER(C264),AVERAGEIFS($C$5:$C$504,$A$5:$A$504,A264,$B$5:$B$504,B264),"")</f>
        <v/>
      </c>
    </row>
    <row r="265">
      <c r="A265" s="4" t="n"/>
      <c r="B265" s="4" t="n"/>
      <c r="C265" s="4" t="n"/>
      <c r="D265">
        <f>IF(ISNUMBER(C265),AVERAGEIFS($C$5:$C$504,$A$5:$A$504,A265,$B$5:$B$504,B265),"")</f>
        <v/>
      </c>
    </row>
    <row r="266">
      <c r="A266" s="4" t="n"/>
      <c r="B266" s="4" t="n"/>
      <c r="C266" s="4" t="n"/>
      <c r="D266">
        <f>IF(ISNUMBER(C266),AVERAGEIFS($C$5:$C$504,$A$5:$A$504,A266,$B$5:$B$504,B266),"")</f>
        <v/>
      </c>
    </row>
    <row r="267">
      <c r="A267" s="4" t="n"/>
      <c r="B267" s="4" t="n"/>
      <c r="C267" s="4" t="n"/>
      <c r="D267">
        <f>IF(ISNUMBER(C267),AVERAGEIFS($C$5:$C$504,$A$5:$A$504,A267,$B$5:$B$504,B267),"")</f>
        <v/>
      </c>
    </row>
    <row r="268">
      <c r="A268" s="4" t="n"/>
      <c r="B268" s="4" t="n"/>
      <c r="C268" s="4" t="n"/>
      <c r="D268">
        <f>IF(ISNUMBER(C268),AVERAGEIFS($C$5:$C$504,$A$5:$A$504,A268,$B$5:$B$504,B268),"")</f>
        <v/>
      </c>
    </row>
    <row r="269">
      <c r="A269" s="4" t="n"/>
      <c r="B269" s="4" t="n"/>
      <c r="C269" s="4" t="n"/>
      <c r="D269">
        <f>IF(ISNUMBER(C269),AVERAGEIFS($C$5:$C$504,$A$5:$A$504,A269,$B$5:$B$504,B269),"")</f>
        <v/>
      </c>
    </row>
    <row r="270">
      <c r="A270" s="4" t="n"/>
      <c r="B270" s="4" t="n"/>
      <c r="C270" s="4" t="n"/>
      <c r="D270">
        <f>IF(ISNUMBER(C270),AVERAGEIFS($C$5:$C$504,$A$5:$A$504,A270,$B$5:$B$504,B270),"")</f>
        <v/>
      </c>
    </row>
    <row r="271">
      <c r="A271" s="4" t="n"/>
      <c r="B271" s="4" t="n"/>
      <c r="C271" s="4" t="n"/>
      <c r="D271">
        <f>IF(ISNUMBER(C271),AVERAGEIFS($C$5:$C$504,$A$5:$A$504,A271,$B$5:$B$504,B271),"")</f>
        <v/>
      </c>
    </row>
    <row r="272">
      <c r="A272" s="4" t="n"/>
      <c r="B272" s="4" t="n"/>
      <c r="C272" s="4" t="n"/>
      <c r="D272">
        <f>IF(ISNUMBER(C272),AVERAGEIFS($C$5:$C$504,$A$5:$A$504,A272,$B$5:$B$504,B272),"")</f>
        <v/>
      </c>
    </row>
    <row r="273">
      <c r="A273" s="4" t="n"/>
      <c r="B273" s="4" t="n"/>
      <c r="C273" s="4" t="n"/>
      <c r="D273">
        <f>IF(ISNUMBER(C273),AVERAGEIFS($C$5:$C$504,$A$5:$A$504,A273,$B$5:$B$504,B273),"")</f>
        <v/>
      </c>
    </row>
    <row r="274">
      <c r="A274" s="4" t="n"/>
      <c r="B274" s="4" t="n"/>
      <c r="C274" s="4" t="n"/>
      <c r="D274">
        <f>IF(ISNUMBER(C274),AVERAGEIFS($C$5:$C$504,$A$5:$A$504,A274,$B$5:$B$504,B274),"")</f>
        <v/>
      </c>
    </row>
    <row r="275">
      <c r="A275" s="4" t="n"/>
      <c r="B275" s="4" t="n"/>
      <c r="C275" s="4" t="n"/>
      <c r="D275">
        <f>IF(ISNUMBER(C275),AVERAGEIFS($C$5:$C$504,$A$5:$A$504,A275,$B$5:$B$504,B275),"")</f>
        <v/>
      </c>
    </row>
    <row r="276">
      <c r="A276" s="4" t="n"/>
      <c r="B276" s="4" t="n"/>
      <c r="C276" s="4" t="n"/>
      <c r="D276">
        <f>IF(ISNUMBER(C276),AVERAGEIFS($C$5:$C$504,$A$5:$A$504,A276,$B$5:$B$504,B276),"")</f>
        <v/>
      </c>
    </row>
    <row r="277">
      <c r="A277" s="4" t="n"/>
      <c r="B277" s="4" t="n"/>
      <c r="C277" s="4" t="n"/>
      <c r="D277">
        <f>IF(ISNUMBER(C277),AVERAGEIFS($C$5:$C$504,$A$5:$A$504,A277,$B$5:$B$504,B277),"")</f>
        <v/>
      </c>
    </row>
    <row r="278">
      <c r="A278" s="4" t="n"/>
      <c r="B278" s="4" t="n"/>
      <c r="C278" s="4" t="n"/>
      <c r="D278">
        <f>IF(ISNUMBER(C278),AVERAGEIFS($C$5:$C$504,$A$5:$A$504,A278,$B$5:$B$504,B278),"")</f>
        <v/>
      </c>
    </row>
    <row r="279">
      <c r="A279" s="4" t="n"/>
      <c r="B279" s="4" t="n"/>
      <c r="C279" s="4" t="n"/>
      <c r="D279">
        <f>IF(ISNUMBER(C279),AVERAGEIFS($C$5:$C$504,$A$5:$A$504,A279,$B$5:$B$504,B279),"")</f>
        <v/>
      </c>
    </row>
    <row r="280">
      <c r="A280" s="4" t="n"/>
      <c r="B280" s="4" t="n"/>
      <c r="C280" s="4" t="n"/>
      <c r="D280">
        <f>IF(ISNUMBER(C280),AVERAGEIFS($C$5:$C$504,$A$5:$A$504,A280,$B$5:$B$504,B280),"")</f>
        <v/>
      </c>
    </row>
    <row r="281">
      <c r="A281" s="4" t="n"/>
      <c r="B281" s="4" t="n"/>
      <c r="C281" s="4" t="n"/>
      <c r="D281">
        <f>IF(ISNUMBER(C281),AVERAGEIFS($C$5:$C$504,$A$5:$A$504,A281,$B$5:$B$504,B281),"")</f>
        <v/>
      </c>
    </row>
    <row r="282">
      <c r="A282" s="4" t="n"/>
      <c r="B282" s="4" t="n"/>
      <c r="C282" s="4" t="n"/>
      <c r="D282">
        <f>IF(ISNUMBER(C282),AVERAGEIFS($C$5:$C$504,$A$5:$A$504,A282,$B$5:$B$504,B282),"")</f>
        <v/>
      </c>
    </row>
    <row r="283">
      <c r="A283" s="4" t="n"/>
      <c r="B283" s="4" t="n"/>
      <c r="C283" s="4" t="n"/>
      <c r="D283">
        <f>IF(ISNUMBER(C283),AVERAGEIFS($C$5:$C$504,$A$5:$A$504,A283,$B$5:$B$504,B283),"")</f>
        <v/>
      </c>
    </row>
    <row r="284">
      <c r="A284" s="4" t="n"/>
      <c r="B284" s="4" t="n"/>
      <c r="C284" s="4" t="n"/>
      <c r="D284">
        <f>IF(ISNUMBER(C284),AVERAGEIFS($C$5:$C$504,$A$5:$A$504,A284,$B$5:$B$504,B284),"")</f>
        <v/>
      </c>
    </row>
    <row r="285">
      <c r="A285" s="4" t="n"/>
      <c r="B285" s="4" t="n"/>
      <c r="C285" s="4" t="n"/>
      <c r="D285">
        <f>IF(ISNUMBER(C285),AVERAGEIFS($C$5:$C$504,$A$5:$A$504,A285,$B$5:$B$504,B285),"")</f>
        <v/>
      </c>
    </row>
    <row r="286">
      <c r="A286" s="4" t="n"/>
      <c r="B286" s="4" t="n"/>
      <c r="C286" s="4" t="n"/>
      <c r="D286">
        <f>IF(ISNUMBER(C286),AVERAGEIFS($C$5:$C$504,$A$5:$A$504,A286,$B$5:$B$504,B286),"")</f>
        <v/>
      </c>
    </row>
    <row r="287">
      <c r="A287" s="4" t="n"/>
      <c r="B287" s="4" t="n"/>
      <c r="C287" s="4" t="n"/>
      <c r="D287">
        <f>IF(ISNUMBER(C287),AVERAGEIFS($C$5:$C$504,$A$5:$A$504,A287,$B$5:$B$504,B287),"")</f>
        <v/>
      </c>
    </row>
    <row r="288">
      <c r="A288" s="4" t="n"/>
      <c r="B288" s="4" t="n"/>
      <c r="C288" s="4" t="n"/>
      <c r="D288">
        <f>IF(ISNUMBER(C288),AVERAGEIFS($C$5:$C$504,$A$5:$A$504,A288,$B$5:$B$504,B288),"")</f>
        <v/>
      </c>
    </row>
    <row r="289">
      <c r="A289" s="4" t="n"/>
      <c r="B289" s="4" t="n"/>
      <c r="C289" s="4" t="n"/>
      <c r="D289">
        <f>IF(ISNUMBER(C289),AVERAGEIFS($C$5:$C$504,$A$5:$A$504,A289,$B$5:$B$504,B289),"")</f>
        <v/>
      </c>
    </row>
    <row r="290">
      <c r="A290" s="4" t="n"/>
      <c r="B290" s="4" t="n"/>
      <c r="C290" s="4" t="n"/>
      <c r="D290">
        <f>IF(ISNUMBER(C290),AVERAGEIFS($C$5:$C$504,$A$5:$A$504,A290,$B$5:$B$504,B290),"")</f>
        <v/>
      </c>
    </row>
    <row r="291">
      <c r="A291" s="4" t="n"/>
      <c r="B291" s="4" t="n"/>
      <c r="C291" s="4" t="n"/>
      <c r="D291">
        <f>IF(ISNUMBER(C291),AVERAGEIFS($C$5:$C$504,$A$5:$A$504,A291,$B$5:$B$504,B291),"")</f>
        <v/>
      </c>
    </row>
    <row r="292">
      <c r="A292" s="4" t="n"/>
      <c r="B292" s="4" t="n"/>
      <c r="C292" s="4" t="n"/>
      <c r="D292">
        <f>IF(ISNUMBER(C292),AVERAGEIFS($C$5:$C$504,$A$5:$A$504,A292,$B$5:$B$504,B292),"")</f>
        <v/>
      </c>
    </row>
    <row r="293">
      <c r="A293" s="4" t="n"/>
      <c r="B293" s="4" t="n"/>
      <c r="C293" s="4" t="n"/>
      <c r="D293">
        <f>IF(ISNUMBER(C293),AVERAGEIFS($C$5:$C$504,$A$5:$A$504,A293,$B$5:$B$504,B293),"")</f>
        <v/>
      </c>
    </row>
    <row r="294">
      <c r="A294" s="4" t="n"/>
      <c r="B294" s="4" t="n"/>
      <c r="C294" s="4" t="n"/>
      <c r="D294">
        <f>IF(ISNUMBER(C294),AVERAGEIFS($C$5:$C$504,$A$5:$A$504,A294,$B$5:$B$504,B294),"")</f>
        <v/>
      </c>
    </row>
    <row r="295">
      <c r="A295" s="4" t="n"/>
      <c r="B295" s="4" t="n"/>
      <c r="C295" s="4" t="n"/>
      <c r="D295">
        <f>IF(ISNUMBER(C295),AVERAGEIFS($C$5:$C$504,$A$5:$A$504,A295,$B$5:$B$504,B295),"")</f>
        <v/>
      </c>
    </row>
    <row r="296">
      <c r="A296" s="4" t="n"/>
      <c r="B296" s="4" t="n"/>
      <c r="C296" s="4" t="n"/>
      <c r="D296">
        <f>IF(ISNUMBER(C296),AVERAGEIFS($C$5:$C$504,$A$5:$A$504,A296,$B$5:$B$504,B296),"")</f>
        <v/>
      </c>
    </row>
    <row r="297">
      <c r="A297" s="4" t="n"/>
      <c r="B297" s="4" t="n"/>
      <c r="C297" s="4" t="n"/>
      <c r="D297">
        <f>IF(ISNUMBER(C297),AVERAGEIFS($C$5:$C$504,$A$5:$A$504,A297,$B$5:$B$504,B297),"")</f>
        <v/>
      </c>
    </row>
    <row r="298">
      <c r="A298" s="4" t="n"/>
      <c r="B298" s="4" t="n"/>
      <c r="C298" s="4" t="n"/>
      <c r="D298">
        <f>IF(ISNUMBER(C298),AVERAGEIFS($C$5:$C$504,$A$5:$A$504,A298,$B$5:$B$504,B298),"")</f>
        <v/>
      </c>
    </row>
    <row r="299">
      <c r="A299" s="4" t="n"/>
      <c r="B299" s="4" t="n"/>
      <c r="C299" s="4" t="n"/>
      <c r="D299">
        <f>IF(ISNUMBER(C299),AVERAGEIFS($C$5:$C$504,$A$5:$A$504,A299,$B$5:$B$504,B299),"")</f>
        <v/>
      </c>
    </row>
    <row r="300">
      <c r="A300" s="4" t="n"/>
      <c r="B300" s="4" t="n"/>
      <c r="C300" s="4" t="n"/>
      <c r="D300">
        <f>IF(ISNUMBER(C300),AVERAGEIFS($C$5:$C$504,$A$5:$A$504,A300,$B$5:$B$504,B300),"")</f>
        <v/>
      </c>
    </row>
    <row r="301">
      <c r="A301" s="4" t="n"/>
      <c r="B301" s="4" t="n"/>
      <c r="C301" s="4" t="n"/>
      <c r="D301">
        <f>IF(ISNUMBER(C301),AVERAGEIFS($C$5:$C$504,$A$5:$A$504,A301,$B$5:$B$504,B301),"")</f>
        <v/>
      </c>
    </row>
    <row r="302">
      <c r="A302" s="4" t="n"/>
      <c r="B302" s="4" t="n"/>
      <c r="C302" s="4" t="n"/>
      <c r="D302">
        <f>IF(ISNUMBER(C302),AVERAGEIFS($C$5:$C$504,$A$5:$A$504,A302,$B$5:$B$504,B302),"")</f>
        <v/>
      </c>
    </row>
    <row r="303">
      <c r="A303" s="4" t="n"/>
      <c r="B303" s="4" t="n"/>
      <c r="C303" s="4" t="n"/>
      <c r="D303">
        <f>IF(ISNUMBER(C303),AVERAGEIFS($C$5:$C$504,$A$5:$A$504,A303,$B$5:$B$504,B303),"")</f>
        <v/>
      </c>
    </row>
    <row r="304">
      <c r="A304" s="4" t="n"/>
      <c r="B304" s="4" t="n"/>
      <c r="C304" s="4" t="n"/>
      <c r="D304">
        <f>IF(ISNUMBER(C304),AVERAGEIFS($C$5:$C$504,$A$5:$A$504,A304,$B$5:$B$504,B304),"")</f>
        <v/>
      </c>
    </row>
    <row r="305">
      <c r="A305" s="4" t="n"/>
      <c r="B305" s="4" t="n"/>
      <c r="C305" s="4" t="n"/>
      <c r="D305">
        <f>IF(ISNUMBER(C305),AVERAGEIFS($C$5:$C$504,$A$5:$A$504,A305,$B$5:$B$504,B305),"")</f>
        <v/>
      </c>
    </row>
    <row r="306">
      <c r="A306" s="4" t="n"/>
      <c r="B306" s="4" t="n"/>
      <c r="C306" s="4" t="n"/>
      <c r="D306">
        <f>IF(ISNUMBER(C306),AVERAGEIFS($C$5:$C$504,$A$5:$A$504,A306,$B$5:$B$504,B306),"")</f>
        <v/>
      </c>
    </row>
    <row r="307">
      <c r="A307" s="4" t="n"/>
      <c r="B307" s="4" t="n"/>
      <c r="C307" s="4" t="n"/>
      <c r="D307">
        <f>IF(ISNUMBER(C307),AVERAGEIFS($C$5:$C$504,$A$5:$A$504,A307,$B$5:$B$504,B307),"")</f>
        <v/>
      </c>
    </row>
    <row r="308">
      <c r="A308" s="4" t="n"/>
      <c r="B308" s="4" t="n"/>
      <c r="C308" s="4" t="n"/>
      <c r="D308">
        <f>IF(ISNUMBER(C308),AVERAGEIFS($C$5:$C$504,$A$5:$A$504,A308,$B$5:$B$504,B308),"")</f>
        <v/>
      </c>
    </row>
    <row r="309">
      <c r="A309" s="4" t="n"/>
      <c r="B309" s="4" t="n"/>
      <c r="C309" s="4" t="n"/>
      <c r="D309">
        <f>IF(ISNUMBER(C309),AVERAGEIFS($C$5:$C$504,$A$5:$A$504,A309,$B$5:$B$504,B309),"")</f>
        <v/>
      </c>
    </row>
    <row r="310">
      <c r="A310" s="4" t="n"/>
      <c r="B310" s="4" t="n"/>
      <c r="C310" s="4" t="n"/>
      <c r="D310">
        <f>IF(ISNUMBER(C310),AVERAGEIFS($C$5:$C$504,$A$5:$A$504,A310,$B$5:$B$504,B310),"")</f>
        <v/>
      </c>
    </row>
    <row r="311">
      <c r="A311" s="4" t="n"/>
      <c r="B311" s="4" t="n"/>
      <c r="C311" s="4" t="n"/>
      <c r="D311">
        <f>IF(ISNUMBER(C311),AVERAGEIFS($C$5:$C$504,$A$5:$A$504,A311,$B$5:$B$504,B311),"")</f>
        <v/>
      </c>
    </row>
    <row r="312">
      <c r="A312" s="4" t="n"/>
      <c r="B312" s="4" t="n"/>
      <c r="C312" s="4" t="n"/>
      <c r="D312">
        <f>IF(ISNUMBER(C312),AVERAGEIFS($C$5:$C$504,$A$5:$A$504,A312,$B$5:$B$504,B312),"")</f>
        <v/>
      </c>
    </row>
    <row r="313">
      <c r="A313" s="4" t="n"/>
      <c r="B313" s="4" t="n"/>
      <c r="C313" s="4" t="n"/>
      <c r="D313">
        <f>IF(ISNUMBER(C313),AVERAGEIFS($C$5:$C$504,$A$5:$A$504,A313,$B$5:$B$504,B313),"")</f>
        <v/>
      </c>
    </row>
    <row r="314">
      <c r="A314" s="4" t="n"/>
      <c r="B314" s="4" t="n"/>
      <c r="C314" s="4" t="n"/>
      <c r="D314">
        <f>IF(ISNUMBER(C314),AVERAGEIFS($C$5:$C$504,$A$5:$A$504,A314,$B$5:$B$504,B314),"")</f>
        <v/>
      </c>
    </row>
    <row r="315">
      <c r="A315" s="4" t="n"/>
      <c r="B315" s="4" t="n"/>
      <c r="C315" s="4" t="n"/>
      <c r="D315">
        <f>IF(ISNUMBER(C315),AVERAGEIFS($C$5:$C$504,$A$5:$A$504,A315,$B$5:$B$504,B315),"")</f>
        <v/>
      </c>
    </row>
    <row r="316">
      <c r="A316" s="4" t="n"/>
      <c r="B316" s="4" t="n"/>
      <c r="C316" s="4" t="n"/>
      <c r="D316">
        <f>IF(ISNUMBER(C316),AVERAGEIFS($C$5:$C$504,$A$5:$A$504,A316,$B$5:$B$504,B316),"")</f>
        <v/>
      </c>
    </row>
    <row r="317">
      <c r="A317" s="4" t="n"/>
      <c r="B317" s="4" t="n"/>
      <c r="C317" s="4" t="n"/>
      <c r="D317">
        <f>IF(ISNUMBER(C317),AVERAGEIFS($C$5:$C$504,$A$5:$A$504,A317,$B$5:$B$504,B317),"")</f>
        <v/>
      </c>
    </row>
    <row r="318">
      <c r="A318" s="4" t="n"/>
      <c r="B318" s="4" t="n"/>
      <c r="C318" s="4" t="n"/>
      <c r="D318">
        <f>IF(ISNUMBER(C318),AVERAGEIFS($C$5:$C$504,$A$5:$A$504,A318,$B$5:$B$504,B318),"")</f>
        <v/>
      </c>
    </row>
    <row r="319">
      <c r="A319" s="4" t="n"/>
      <c r="B319" s="4" t="n"/>
      <c r="C319" s="4" t="n"/>
      <c r="D319">
        <f>IF(ISNUMBER(C319),AVERAGEIFS($C$5:$C$504,$A$5:$A$504,A319,$B$5:$B$504,B319),"")</f>
        <v/>
      </c>
    </row>
    <row r="320">
      <c r="A320" s="4" t="n"/>
      <c r="B320" s="4" t="n"/>
      <c r="C320" s="4" t="n"/>
      <c r="D320">
        <f>IF(ISNUMBER(C320),AVERAGEIFS($C$5:$C$504,$A$5:$A$504,A320,$B$5:$B$504,B320),"")</f>
        <v/>
      </c>
    </row>
    <row r="321">
      <c r="A321" s="4" t="n"/>
      <c r="B321" s="4" t="n"/>
      <c r="C321" s="4" t="n"/>
      <c r="D321">
        <f>IF(ISNUMBER(C321),AVERAGEIFS($C$5:$C$504,$A$5:$A$504,A321,$B$5:$B$504,B321),"")</f>
        <v/>
      </c>
    </row>
    <row r="322">
      <c r="A322" s="4" t="n"/>
      <c r="B322" s="4" t="n"/>
      <c r="C322" s="4" t="n"/>
      <c r="D322">
        <f>IF(ISNUMBER(C322),AVERAGEIFS($C$5:$C$504,$A$5:$A$504,A322,$B$5:$B$504,B322),"")</f>
        <v/>
      </c>
    </row>
    <row r="323">
      <c r="A323" s="4" t="n"/>
      <c r="B323" s="4" t="n"/>
      <c r="C323" s="4" t="n"/>
      <c r="D323">
        <f>IF(ISNUMBER(C323),AVERAGEIFS($C$5:$C$504,$A$5:$A$504,A323,$B$5:$B$504,B323),"")</f>
        <v/>
      </c>
    </row>
    <row r="324">
      <c r="A324" s="4" t="n"/>
      <c r="B324" s="4" t="n"/>
      <c r="C324" s="4" t="n"/>
      <c r="D324">
        <f>IF(ISNUMBER(C324),AVERAGEIFS($C$5:$C$504,$A$5:$A$504,A324,$B$5:$B$504,B324),"")</f>
        <v/>
      </c>
    </row>
    <row r="325">
      <c r="A325" s="4" t="n"/>
      <c r="B325" s="4" t="n"/>
      <c r="C325" s="4" t="n"/>
      <c r="D325">
        <f>IF(ISNUMBER(C325),AVERAGEIFS($C$5:$C$504,$A$5:$A$504,A325,$B$5:$B$504,B325),"")</f>
        <v/>
      </c>
    </row>
    <row r="326">
      <c r="A326" s="4" t="n"/>
      <c r="B326" s="4" t="n"/>
      <c r="C326" s="4" t="n"/>
      <c r="D326">
        <f>IF(ISNUMBER(C326),AVERAGEIFS($C$5:$C$504,$A$5:$A$504,A326,$B$5:$B$504,B326),"")</f>
        <v/>
      </c>
    </row>
    <row r="327">
      <c r="A327" s="4" t="n"/>
      <c r="B327" s="4" t="n"/>
      <c r="C327" s="4" t="n"/>
      <c r="D327">
        <f>IF(ISNUMBER(C327),AVERAGEIFS($C$5:$C$504,$A$5:$A$504,A327,$B$5:$B$504,B327),"")</f>
        <v/>
      </c>
    </row>
    <row r="328">
      <c r="A328" s="4" t="n"/>
      <c r="B328" s="4" t="n"/>
      <c r="C328" s="4" t="n"/>
      <c r="D328">
        <f>IF(ISNUMBER(C328),AVERAGEIFS($C$5:$C$504,$A$5:$A$504,A328,$B$5:$B$504,B328),"")</f>
        <v/>
      </c>
    </row>
    <row r="329">
      <c r="A329" s="4" t="n"/>
      <c r="B329" s="4" t="n"/>
      <c r="C329" s="4" t="n"/>
      <c r="D329">
        <f>IF(ISNUMBER(C329),AVERAGEIFS($C$5:$C$504,$A$5:$A$504,A329,$B$5:$B$504,B329),"")</f>
        <v/>
      </c>
    </row>
    <row r="330">
      <c r="A330" s="4" t="n"/>
      <c r="B330" s="4" t="n"/>
      <c r="C330" s="4" t="n"/>
      <c r="D330">
        <f>IF(ISNUMBER(C330),AVERAGEIFS($C$5:$C$504,$A$5:$A$504,A330,$B$5:$B$504,B330),"")</f>
        <v/>
      </c>
    </row>
    <row r="331">
      <c r="A331" s="4" t="n"/>
      <c r="B331" s="4" t="n"/>
      <c r="C331" s="4" t="n"/>
      <c r="D331">
        <f>IF(ISNUMBER(C331),AVERAGEIFS($C$5:$C$504,$A$5:$A$504,A331,$B$5:$B$504,B331),"")</f>
        <v/>
      </c>
    </row>
    <row r="332">
      <c r="A332" s="4" t="n"/>
      <c r="B332" s="4" t="n"/>
      <c r="C332" s="4" t="n"/>
      <c r="D332">
        <f>IF(ISNUMBER(C332),AVERAGEIFS($C$5:$C$504,$A$5:$A$504,A332,$B$5:$B$504,B332),"")</f>
        <v/>
      </c>
    </row>
    <row r="333">
      <c r="A333" s="4" t="n"/>
      <c r="B333" s="4" t="n"/>
      <c r="C333" s="4" t="n"/>
      <c r="D333">
        <f>IF(ISNUMBER(C333),AVERAGEIFS($C$5:$C$504,$A$5:$A$504,A333,$B$5:$B$504,B333),"")</f>
        <v/>
      </c>
    </row>
    <row r="334">
      <c r="A334" s="4" t="n"/>
      <c r="B334" s="4" t="n"/>
      <c r="C334" s="4" t="n"/>
      <c r="D334">
        <f>IF(ISNUMBER(C334),AVERAGEIFS($C$5:$C$504,$A$5:$A$504,A334,$B$5:$B$504,B334),"")</f>
        <v/>
      </c>
    </row>
    <row r="335">
      <c r="A335" s="4" t="n"/>
      <c r="B335" s="4" t="n"/>
      <c r="C335" s="4" t="n"/>
      <c r="D335">
        <f>IF(ISNUMBER(C335),AVERAGEIFS($C$5:$C$504,$A$5:$A$504,A335,$B$5:$B$504,B335),"")</f>
        <v/>
      </c>
    </row>
    <row r="336">
      <c r="A336" s="4" t="n"/>
      <c r="B336" s="4" t="n"/>
      <c r="C336" s="4" t="n"/>
      <c r="D336">
        <f>IF(ISNUMBER(C336),AVERAGEIFS($C$5:$C$504,$A$5:$A$504,A336,$B$5:$B$504,B336),"")</f>
        <v/>
      </c>
    </row>
    <row r="337">
      <c r="A337" s="4" t="n"/>
      <c r="B337" s="4" t="n"/>
      <c r="C337" s="4" t="n"/>
      <c r="D337">
        <f>IF(ISNUMBER(C337),AVERAGEIFS($C$5:$C$504,$A$5:$A$504,A337,$B$5:$B$504,B337),"")</f>
        <v/>
      </c>
    </row>
    <row r="338">
      <c r="A338" s="4" t="n"/>
      <c r="B338" s="4" t="n"/>
      <c r="C338" s="4" t="n"/>
      <c r="D338">
        <f>IF(ISNUMBER(C338),AVERAGEIFS($C$5:$C$504,$A$5:$A$504,A338,$B$5:$B$504,B338),"")</f>
        <v/>
      </c>
    </row>
    <row r="339">
      <c r="A339" s="4" t="n"/>
      <c r="B339" s="4" t="n"/>
      <c r="C339" s="4" t="n"/>
      <c r="D339">
        <f>IF(ISNUMBER(C339),AVERAGEIFS($C$5:$C$504,$A$5:$A$504,A339,$B$5:$B$504,B339),"")</f>
        <v/>
      </c>
    </row>
    <row r="340">
      <c r="A340" s="4" t="n"/>
      <c r="B340" s="4" t="n"/>
      <c r="C340" s="4" t="n"/>
      <c r="D340">
        <f>IF(ISNUMBER(C340),AVERAGEIFS($C$5:$C$504,$A$5:$A$504,A340,$B$5:$B$504,B340),"")</f>
        <v/>
      </c>
    </row>
    <row r="341">
      <c r="A341" s="4" t="n"/>
      <c r="B341" s="4" t="n"/>
      <c r="C341" s="4" t="n"/>
      <c r="D341">
        <f>IF(ISNUMBER(C341),AVERAGEIFS($C$5:$C$504,$A$5:$A$504,A341,$B$5:$B$504,B341),"")</f>
        <v/>
      </c>
    </row>
    <row r="342">
      <c r="A342" s="4" t="n"/>
      <c r="B342" s="4" t="n"/>
      <c r="C342" s="4" t="n"/>
      <c r="D342">
        <f>IF(ISNUMBER(C342),AVERAGEIFS($C$5:$C$504,$A$5:$A$504,A342,$B$5:$B$504,B342),"")</f>
        <v/>
      </c>
    </row>
    <row r="343">
      <c r="A343" s="4" t="n"/>
      <c r="B343" s="4" t="n"/>
      <c r="C343" s="4" t="n"/>
      <c r="D343">
        <f>IF(ISNUMBER(C343),AVERAGEIFS($C$5:$C$504,$A$5:$A$504,A343,$B$5:$B$504,B343),"")</f>
        <v/>
      </c>
    </row>
    <row r="344">
      <c r="A344" s="4" t="n"/>
      <c r="B344" s="4" t="n"/>
      <c r="C344" s="4" t="n"/>
      <c r="D344">
        <f>IF(ISNUMBER(C344),AVERAGEIFS($C$5:$C$504,$A$5:$A$504,A344,$B$5:$B$504,B344),"")</f>
        <v/>
      </c>
    </row>
    <row r="345">
      <c r="A345" s="4" t="n"/>
      <c r="B345" s="4" t="n"/>
      <c r="C345" s="4" t="n"/>
      <c r="D345">
        <f>IF(ISNUMBER(C345),AVERAGEIFS($C$5:$C$504,$A$5:$A$504,A345,$B$5:$B$504,B345),"")</f>
        <v/>
      </c>
    </row>
    <row r="346">
      <c r="A346" s="4" t="n"/>
      <c r="B346" s="4" t="n"/>
      <c r="C346" s="4" t="n"/>
      <c r="D346">
        <f>IF(ISNUMBER(C346),AVERAGEIFS($C$5:$C$504,$A$5:$A$504,A346,$B$5:$B$504,B346),"")</f>
        <v/>
      </c>
    </row>
    <row r="347">
      <c r="A347" s="4" t="n"/>
      <c r="B347" s="4" t="n"/>
      <c r="C347" s="4" t="n"/>
      <c r="D347">
        <f>IF(ISNUMBER(C347),AVERAGEIFS($C$5:$C$504,$A$5:$A$504,A347,$B$5:$B$504,B347),"")</f>
        <v/>
      </c>
    </row>
    <row r="348">
      <c r="A348" s="4" t="n"/>
      <c r="B348" s="4" t="n"/>
      <c r="C348" s="4" t="n"/>
      <c r="D348">
        <f>IF(ISNUMBER(C348),AVERAGEIFS($C$5:$C$504,$A$5:$A$504,A348,$B$5:$B$504,B348),"")</f>
        <v/>
      </c>
    </row>
    <row r="349">
      <c r="A349" s="4" t="n"/>
      <c r="B349" s="4" t="n"/>
      <c r="C349" s="4" t="n"/>
      <c r="D349">
        <f>IF(ISNUMBER(C349),AVERAGEIFS($C$5:$C$504,$A$5:$A$504,A349,$B$5:$B$504,B349),"")</f>
        <v/>
      </c>
    </row>
    <row r="350">
      <c r="A350" s="4" t="n"/>
      <c r="B350" s="4" t="n"/>
      <c r="C350" s="4" t="n"/>
      <c r="D350">
        <f>IF(ISNUMBER(C350),AVERAGEIFS($C$5:$C$504,$A$5:$A$504,A350,$B$5:$B$504,B350),"")</f>
        <v/>
      </c>
    </row>
    <row r="351">
      <c r="A351" s="4" t="n"/>
      <c r="B351" s="4" t="n"/>
      <c r="C351" s="4" t="n"/>
      <c r="D351">
        <f>IF(ISNUMBER(C351),AVERAGEIFS($C$5:$C$504,$A$5:$A$504,A351,$B$5:$B$504,B351),"")</f>
        <v/>
      </c>
    </row>
    <row r="352">
      <c r="A352" s="4" t="n"/>
      <c r="B352" s="4" t="n"/>
      <c r="C352" s="4" t="n"/>
      <c r="D352">
        <f>IF(ISNUMBER(C352),AVERAGEIFS($C$5:$C$504,$A$5:$A$504,A352,$B$5:$B$504,B352),"")</f>
        <v/>
      </c>
    </row>
    <row r="353">
      <c r="A353" s="4" t="n"/>
      <c r="B353" s="4" t="n"/>
      <c r="C353" s="4" t="n"/>
      <c r="D353">
        <f>IF(ISNUMBER(C353),AVERAGEIFS($C$5:$C$504,$A$5:$A$504,A353,$B$5:$B$504,B353),"")</f>
        <v/>
      </c>
    </row>
    <row r="354">
      <c r="A354" s="4" t="n"/>
      <c r="B354" s="4" t="n"/>
      <c r="C354" s="4" t="n"/>
      <c r="D354">
        <f>IF(ISNUMBER(C354),AVERAGEIFS($C$5:$C$504,$A$5:$A$504,A354,$B$5:$B$504,B354),"")</f>
        <v/>
      </c>
    </row>
    <row r="355">
      <c r="A355" s="4" t="n"/>
      <c r="B355" s="4" t="n"/>
      <c r="C355" s="4" t="n"/>
      <c r="D355">
        <f>IF(ISNUMBER(C355),AVERAGEIFS($C$5:$C$504,$A$5:$A$504,A355,$B$5:$B$504,B355),"")</f>
        <v/>
      </c>
    </row>
    <row r="356">
      <c r="A356" s="4" t="n"/>
      <c r="B356" s="4" t="n"/>
      <c r="C356" s="4" t="n"/>
      <c r="D356">
        <f>IF(ISNUMBER(C356),AVERAGEIFS($C$5:$C$504,$A$5:$A$504,A356,$B$5:$B$504,B356),"")</f>
        <v/>
      </c>
    </row>
    <row r="357">
      <c r="A357" s="4" t="n"/>
      <c r="B357" s="4" t="n"/>
      <c r="C357" s="4" t="n"/>
      <c r="D357">
        <f>IF(ISNUMBER(C357),AVERAGEIFS($C$5:$C$504,$A$5:$A$504,A357,$B$5:$B$504,B357),"")</f>
        <v/>
      </c>
    </row>
    <row r="358">
      <c r="A358" s="4" t="n"/>
      <c r="B358" s="4" t="n"/>
      <c r="C358" s="4" t="n"/>
      <c r="D358">
        <f>IF(ISNUMBER(C358),AVERAGEIFS($C$5:$C$504,$A$5:$A$504,A358,$B$5:$B$504,B358),"")</f>
        <v/>
      </c>
    </row>
    <row r="359">
      <c r="A359" s="4" t="n"/>
      <c r="B359" s="4" t="n"/>
      <c r="C359" s="4" t="n"/>
      <c r="D359">
        <f>IF(ISNUMBER(C359),AVERAGEIFS($C$5:$C$504,$A$5:$A$504,A359,$B$5:$B$504,B359),"")</f>
        <v/>
      </c>
    </row>
    <row r="360">
      <c r="A360" s="4" t="n"/>
      <c r="B360" s="4" t="n"/>
      <c r="C360" s="4" t="n"/>
      <c r="D360">
        <f>IF(ISNUMBER(C360),AVERAGEIFS($C$5:$C$504,$A$5:$A$504,A360,$B$5:$B$504,B360),"")</f>
        <v/>
      </c>
    </row>
    <row r="361">
      <c r="A361" s="4" t="n"/>
      <c r="B361" s="4" t="n"/>
      <c r="C361" s="4" t="n"/>
      <c r="D361">
        <f>IF(ISNUMBER(C361),AVERAGEIFS($C$5:$C$504,$A$5:$A$504,A361,$B$5:$B$504,B361),"")</f>
        <v/>
      </c>
    </row>
    <row r="362">
      <c r="A362" s="4" t="n"/>
      <c r="B362" s="4" t="n"/>
      <c r="C362" s="4" t="n"/>
      <c r="D362">
        <f>IF(ISNUMBER(C362),AVERAGEIFS($C$5:$C$504,$A$5:$A$504,A362,$B$5:$B$504,B362),"")</f>
        <v/>
      </c>
    </row>
    <row r="363">
      <c r="A363" s="4" t="n"/>
      <c r="B363" s="4" t="n"/>
      <c r="C363" s="4" t="n"/>
      <c r="D363">
        <f>IF(ISNUMBER(C363),AVERAGEIFS($C$5:$C$504,$A$5:$A$504,A363,$B$5:$B$504,B363),"")</f>
        <v/>
      </c>
    </row>
    <row r="364">
      <c r="A364" s="4" t="n"/>
      <c r="B364" s="4" t="n"/>
      <c r="C364" s="4" t="n"/>
      <c r="D364">
        <f>IF(ISNUMBER(C364),AVERAGEIFS($C$5:$C$504,$A$5:$A$504,A364,$B$5:$B$504,B364),"")</f>
        <v/>
      </c>
    </row>
    <row r="365">
      <c r="A365" s="4" t="n"/>
      <c r="B365" s="4" t="n"/>
      <c r="C365" s="4" t="n"/>
      <c r="D365">
        <f>IF(ISNUMBER(C365),AVERAGEIFS($C$5:$C$504,$A$5:$A$504,A365,$B$5:$B$504,B365),"")</f>
        <v/>
      </c>
    </row>
    <row r="366">
      <c r="A366" s="4" t="n"/>
      <c r="B366" s="4" t="n"/>
      <c r="C366" s="4" t="n"/>
      <c r="D366">
        <f>IF(ISNUMBER(C366),AVERAGEIFS($C$5:$C$504,$A$5:$A$504,A366,$B$5:$B$504,B366),"")</f>
        <v/>
      </c>
    </row>
    <row r="367">
      <c r="A367" s="4" t="n"/>
      <c r="B367" s="4" t="n"/>
      <c r="C367" s="4" t="n"/>
      <c r="D367">
        <f>IF(ISNUMBER(C367),AVERAGEIFS($C$5:$C$504,$A$5:$A$504,A367,$B$5:$B$504,B367),"")</f>
        <v/>
      </c>
    </row>
    <row r="368">
      <c r="A368" s="4" t="n"/>
      <c r="B368" s="4" t="n"/>
      <c r="C368" s="4" t="n"/>
      <c r="D368">
        <f>IF(ISNUMBER(C368),AVERAGEIFS($C$5:$C$504,$A$5:$A$504,A368,$B$5:$B$504,B368),"")</f>
        <v/>
      </c>
    </row>
    <row r="369">
      <c r="A369" s="4" t="n"/>
      <c r="B369" s="4" t="n"/>
      <c r="C369" s="4" t="n"/>
      <c r="D369">
        <f>IF(ISNUMBER(C369),AVERAGEIFS($C$5:$C$504,$A$5:$A$504,A369,$B$5:$B$504,B369),"")</f>
        <v/>
      </c>
    </row>
    <row r="370">
      <c r="A370" s="4" t="n"/>
      <c r="B370" s="4" t="n"/>
      <c r="C370" s="4" t="n"/>
      <c r="D370">
        <f>IF(ISNUMBER(C370),AVERAGEIFS($C$5:$C$504,$A$5:$A$504,A370,$B$5:$B$504,B370),"")</f>
        <v/>
      </c>
    </row>
    <row r="371">
      <c r="A371" s="4" t="n"/>
      <c r="B371" s="4" t="n"/>
      <c r="C371" s="4" t="n"/>
      <c r="D371">
        <f>IF(ISNUMBER(C371),AVERAGEIFS($C$5:$C$504,$A$5:$A$504,A371,$B$5:$B$504,B371),"")</f>
        <v/>
      </c>
    </row>
    <row r="372">
      <c r="A372" s="4" t="n"/>
      <c r="B372" s="4" t="n"/>
      <c r="C372" s="4" t="n"/>
      <c r="D372">
        <f>IF(ISNUMBER(C372),AVERAGEIFS($C$5:$C$504,$A$5:$A$504,A372,$B$5:$B$504,B372),"")</f>
        <v/>
      </c>
    </row>
    <row r="373">
      <c r="A373" s="4" t="n"/>
      <c r="B373" s="4" t="n"/>
      <c r="C373" s="4" t="n"/>
      <c r="D373">
        <f>IF(ISNUMBER(C373),AVERAGEIFS($C$5:$C$504,$A$5:$A$504,A373,$B$5:$B$504,B373),"")</f>
        <v/>
      </c>
    </row>
    <row r="374">
      <c r="A374" s="4" t="n"/>
      <c r="B374" s="4" t="n"/>
      <c r="C374" s="4" t="n"/>
      <c r="D374">
        <f>IF(ISNUMBER(C374),AVERAGEIFS($C$5:$C$504,$A$5:$A$504,A374,$B$5:$B$504,B374),"")</f>
        <v/>
      </c>
    </row>
    <row r="375">
      <c r="A375" s="4" t="n"/>
      <c r="B375" s="4" t="n"/>
      <c r="C375" s="4" t="n"/>
      <c r="D375">
        <f>IF(ISNUMBER(C375),AVERAGEIFS($C$5:$C$504,$A$5:$A$504,A375,$B$5:$B$504,B375),"")</f>
        <v/>
      </c>
    </row>
    <row r="376">
      <c r="A376" s="4" t="n"/>
      <c r="B376" s="4" t="n"/>
      <c r="C376" s="4" t="n"/>
      <c r="D376">
        <f>IF(ISNUMBER(C376),AVERAGEIFS($C$5:$C$504,$A$5:$A$504,A376,$B$5:$B$504,B376),"")</f>
        <v/>
      </c>
    </row>
    <row r="377">
      <c r="A377" s="4" t="n"/>
      <c r="B377" s="4" t="n"/>
      <c r="C377" s="4" t="n"/>
      <c r="D377">
        <f>IF(ISNUMBER(C377),AVERAGEIFS($C$5:$C$504,$A$5:$A$504,A377,$B$5:$B$504,B377),"")</f>
        <v/>
      </c>
    </row>
    <row r="378">
      <c r="A378" s="4" t="n"/>
      <c r="B378" s="4" t="n"/>
      <c r="C378" s="4" t="n"/>
      <c r="D378">
        <f>IF(ISNUMBER(C378),AVERAGEIFS($C$5:$C$504,$A$5:$A$504,A378,$B$5:$B$504,B378),"")</f>
        <v/>
      </c>
    </row>
    <row r="379">
      <c r="A379" s="4" t="n"/>
      <c r="B379" s="4" t="n"/>
      <c r="C379" s="4" t="n"/>
      <c r="D379">
        <f>IF(ISNUMBER(C379),AVERAGEIFS($C$5:$C$504,$A$5:$A$504,A379,$B$5:$B$504,B379),"")</f>
        <v/>
      </c>
    </row>
    <row r="380">
      <c r="A380" s="4" t="n"/>
      <c r="B380" s="4" t="n"/>
      <c r="C380" s="4" t="n"/>
      <c r="D380">
        <f>IF(ISNUMBER(C380),AVERAGEIFS($C$5:$C$504,$A$5:$A$504,A380,$B$5:$B$504,B380),"")</f>
        <v/>
      </c>
    </row>
    <row r="381">
      <c r="A381" s="4" t="n"/>
      <c r="B381" s="4" t="n"/>
      <c r="C381" s="4" t="n"/>
      <c r="D381">
        <f>IF(ISNUMBER(C381),AVERAGEIFS($C$5:$C$504,$A$5:$A$504,A381,$B$5:$B$504,B381),"")</f>
        <v/>
      </c>
    </row>
    <row r="382">
      <c r="A382" s="4" t="n"/>
      <c r="B382" s="4" t="n"/>
      <c r="C382" s="4" t="n"/>
      <c r="D382">
        <f>IF(ISNUMBER(C382),AVERAGEIFS($C$5:$C$504,$A$5:$A$504,A382,$B$5:$B$504,B382),"")</f>
        <v/>
      </c>
    </row>
    <row r="383">
      <c r="A383" s="4" t="n"/>
      <c r="B383" s="4" t="n"/>
      <c r="C383" s="4" t="n"/>
      <c r="D383">
        <f>IF(ISNUMBER(C383),AVERAGEIFS($C$5:$C$504,$A$5:$A$504,A383,$B$5:$B$504,B383),"")</f>
        <v/>
      </c>
    </row>
    <row r="384">
      <c r="A384" s="4" t="n"/>
      <c r="B384" s="4" t="n"/>
      <c r="C384" s="4" t="n"/>
      <c r="D384">
        <f>IF(ISNUMBER(C384),AVERAGEIFS($C$5:$C$504,$A$5:$A$504,A384,$B$5:$B$504,B384),"")</f>
        <v/>
      </c>
    </row>
    <row r="385">
      <c r="A385" s="4" t="n"/>
      <c r="B385" s="4" t="n"/>
      <c r="C385" s="4" t="n"/>
      <c r="D385">
        <f>IF(ISNUMBER(C385),AVERAGEIFS($C$5:$C$504,$A$5:$A$504,A385,$B$5:$B$504,B385),"")</f>
        <v/>
      </c>
    </row>
    <row r="386">
      <c r="A386" s="4" t="n"/>
      <c r="B386" s="4" t="n"/>
      <c r="C386" s="4" t="n"/>
      <c r="D386">
        <f>IF(ISNUMBER(C386),AVERAGEIFS($C$5:$C$504,$A$5:$A$504,A386,$B$5:$B$504,B386),"")</f>
        <v/>
      </c>
    </row>
    <row r="387">
      <c r="A387" s="4" t="n"/>
      <c r="B387" s="4" t="n"/>
      <c r="C387" s="4" t="n"/>
      <c r="D387">
        <f>IF(ISNUMBER(C387),AVERAGEIFS($C$5:$C$504,$A$5:$A$504,A387,$B$5:$B$504,B387),"")</f>
        <v/>
      </c>
    </row>
    <row r="388">
      <c r="A388" s="4" t="n"/>
      <c r="B388" s="4" t="n"/>
      <c r="C388" s="4" t="n"/>
      <c r="D388">
        <f>IF(ISNUMBER(C388),AVERAGEIFS($C$5:$C$504,$A$5:$A$504,A388,$B$5:$B$504,B388),"")</f>
        <v/>
      </c>
    </row>
    <row r="389">
      <c r="A389" s="4" t="n"/>
      <c r="B389" s="4" t="n"/>
      <c r="C389" s="4" t="n"/>
      <c r="D389">
        <f>IF(ISNUMBER(C389),AVERAGEIFS($C$5:$C$504,$A$5:$A$504,A389,$B$5:$B$504,B389),"")</f>
        <v/>
      </c>
    </row>
    <row r="390">
      <c r="A390" s="4" t="n"/>
      <c r="B390" s="4" t="n"/>
      <c r="C390" s="4" t="n"/>
      <c r="D390">
        <f>IF(ISNUMBER(C390),AVERAGEIFS($C$5:$C$504,$A$5:$A$504,A390,$B$5:$B$504,B390),"")</f>
        <v/>
      </c>
    </row>
    <row r="391">
      <c r="A391" s="4" t="n"/>
      <c r="B391" s="4" t="n"/>
      <c r="C391" s="4" t="n"/>
      <c r="D391">
        <f>IF(ISNUMBER(C391),AVERAGEIFS($C$5:$C$504,$A$5:$A$504,A391,$B$5:$B$504,B391),"")</f>
        <v/>
      </c>
    </row>
    <row r="392">
      <c r="A392" s="4" t="n"/>
      <c r="B392" s="4" t="n"/>
      <c r="C392" s="4" t="n"/>
      <c r="D392">
        <f>IF(ISNUMBER(C392),AVERAGEIFS($C$5:$C$504,$A$5:$A$504,A392,$B$5:$B$504,B392),"")</f>
        <v/>
      </c>
    </row>
    <row r="393">
      <c r="A393" s="4" t="n"/>
      <c r="B393" s="4" t="n"/>
      <c r="C393" s="4" t="n"/>
      <c r="D393">
        <f>IF(ISNUMBER(C393),AVERAGEIFS($C$5:$C$504,$A$5:$A$504,A393,$B$5:$B$504,B393),"")</f>
        <v/>
      </c>
    </row>
    <row r="394">
      <c r="A394" s="4" t="n"/>
      <c r="B394" s="4" t="n"/>
      <c r="C394" s="4" t="n"/>
      <c r="D394">
        <f>IF(ISNUMBER(C394),AVERAGEIFS($C$5:$C$504,$A$5:$A$504,A394,$B$5:$B$504,B394),"")</f>
        <v/>
      </c>
    </row>
    <row r="395">
      <c r="A395" s="4" t="n"/>
      <c r="B395" s="4" t="n"/>
      <c r="C395" s="4" t="n"/>
      <c r="D395">
        <f>IF(ISNUMBER(C395),AVERAGEIFS($C$5:$C$504,$A$5:$A$504,A395,$B$5:$B$504,B395),"")</f>
        <v/>
      </c>
    </row>
    <row r="396">
      <c r="A396" s="4" t="n"/>
      <c r="B396" s="4" t="n"/>
      <c r="C396" s="4" t="n"/>
      <c r="D396">
        <f>IF(ISNUMBER(C396),AVERAGEIFS($C$5:$C$504,$A$5:$A$504,A396,$B$5:$B$504,B396),"")</f>
        <v/>
      </c>
    </row>
    <row r="397">
      <c r="A397" s="4" t="n"/>
      <c r="B397" s="4" t="n"/>
      <c r="C397" s="4" t="n"/>
      <c r="D397">
        <f>IF(ISNUMBER(C397),AVERAGEIFS($C$5:$C$504,$A$5:$A$504,A397,$B$5:$B$504,B397),"")</f>
        <v/>
      </c>
    </row>
    <row r="398">
      <c r="A398" s="4" t="n"/>
      <c r="B398" s="4" t="n"/>
      <c r="C398" s="4" t="n"/>
      <c r="D398">
        <f>IF(ISNUMBER(C398),AVERAGEIFS($C$5:$C$504,$A$5:$A$504,A398,$B$5:$B$504,B398),"")</f>
        <v/>
      </c>
    </row>
    <row r="399">
      <c r="A399" s="4" t="n"/>
      <c r="B399" s="4" t="n"/>
      <c r="C399" s="4" t="n"/>
      <c r="D399">
        <f>IF(ISNUMBER(C399),AVERAGEIFS($C$5:$C$504,$A$5:$A$504,A399,$B$5:$B$504,B399),"")</f>
        <v/>
      </c>
    </row>
    <row r="400">
      <c r="A400" s="4" t="n"/>
      <c r="B400" s="4" t="n"/>
      <c r="C400" s="4" t="n"/>
      <c r="D400">
        <f>IF(ISNUMBER(C400),AVERAGEIFS($C$5:$C$504,$A$5:$A$504,A400,$B$5:$B$504,B400),"")</f>
        <v/>
      </c>
    </row>
    <row r="401">
      <c r="A401" s="4" t="n"/>
      <c r="B401" s="4" t="n"/>
      <c r="C401" s="4" t="n"/>
      <c r="D401">
        <f>IF(ISNUMBER(C401),AVERAGEIFS($C$5:$C$504,$A$5:$A$504,A401,$B$5:$B$504,B401),"")</f>
        <v/>
      </c>
    </row>
    <row r="402">
      <c r="A402" s="4" t="n"/>
      <c r="B402" s="4" t="n"/>
      <c r="C402" s="4" t="n"/>
      <c r="D402">
        <f>IF(ISNUMBER(C402),AVERAGEIFS($C$5:$C$504,$A$5:$A$504,A402,$B$5:$B$504,B402),"")</f>
        <v/>
      </c>
    </row>
    <row r="403">
      <c r="A403" s="4" t="n"/>
      <c r="B403" s="4" t="n"/>
      <c r="C403" s="4" t="n"/>
      <c r="D403">
        <f>IF(ISNUMBER(C403),AVERAGEIFS($C$5:$C$504,$A$5:$A$504,A403,$B$5:$B$504,B403),"")</f>
        <v/>
      </c>
    </row>
    <row r="404">
      <c r="A404" s="4" t="n"/>
      <c r="B404" s="4" t="n"/>
      <c r="C404" s="4" t="n"/>
      <c r="D404">
        <f>IF(ISNUMBER(C404),AVERAGEIFS($C$5:$C$504,$A$5:$A$504,A404,$B$5:$B$504,B404),"")</f>
        <v/>
      </c>
    </row>
    <row r="405">
      <c r="A405" s="4" t="n"/>
      <c r="B405" s="4" t="n"/>
      <c r="C405" s="4" t="n"/>
      <c r="D405">
        <f>IF(ISNUMBER(C405),AVERAGEIFS($C$5:$C$504,$A$5:$A$504,A405,$B$5:$B$504,B405),"")</f>
        <v/>
      </c>
    </row>
    <row r="406">
      <c r="A406" s="4" t="n"/>
      <c r="B406" s="4" t="n"/>
      <c r="C406" s="4" t="n"/>
      <c r="D406">
        <f>IF(ISNUMBER(C406),AVERAGEIFS($C$5:$C$504,$A$5:$A$504,A406,$B$5:$B$504,B406),"")</f>
        <v/>
      </c>
    </row>
    <row r="407">
      <c r="A407" s="4" t="n"/>
      <c r="B407" s="4" t="n"/>
      <c r="C407" s="4" t="n"/>
      <c r="D407">
        <f>IF(ISNUMBER(C407),AVERAGEIFS($C$5:$C$504,$A$5:$A$504,A407,$B$5:$B$504,B407),"")</f>
        <v/>
      </c>
    </row>
    <row r="408">
      <c r="A408" s="4" t="n"/>
      <c r="B408" s="4" t="n"/>
      <c r="C408" s="4" t="n"/>
      <c r="D408">
        <f>IF(ISNUMBER(C408),AVERAGEIFS($C$5:$C$504,$A$5:$A$504,A408,$B$5:$B$504,B408),"")</f>
        <v/>
      </c>
    </row>
    <row r="409">
      <c r="A409" s="4" t="n"/>
      <c r="B409" s="4" t="n"/>
      <c r="C409" s="4" t="n"/>
      <c r="D409">
        <f>IF(ISNUMBER(C409),AVERAGEIFS($C$5:$C$504,$A$5:$A$504,A409,$B$5:$B$504,B409),"")</f>
        <v/>
      </c>
    </row>
    <row r="410">
      <c r="A410" s="4" t="n"/>
      <c r="B410" s="4" t="n"/>
      <c r="C410" s="4" t="n"/>
      <c r="D410">
        <f>IF(ISNUMBER(C410),AVERAGEIFS($C$5:$C$504,$A$5:$A$504,A410,$B$5:$B$504,B410),"")</f>
        <v/>
      </c>
    </row>
    <row r="411">
      <c r="A411" s="4" t="n"/>
      <c r="B411" s="4" t="n"/>
      <c r="C411" s="4" t="n"/>
      <c r="D411">
        <f>IF(ISNUMBER(C411),AVERAGEIFS($C$5:$C$504,$A$5:$A$504,A411,$B$5:$B$504,B411),"")</f>
        <v/>
      </c>
    </row>
    <row r="412">
      <c r="A412" s="4" t="n"/>
      <c r="B412" s="4" t="n"/>
      <c r="C412" s="4" t="n"/>
      <c r="D412">
        <f>IF(ISNUMBER(C412),AVERAGEIFS($C$5:$C$504,$A$5:$A$504,A412,$B$5:$B$504,B412),"")</f>
        <v/>
      </c>
    </row>
    <row r="413">
      <c r="A413" s="4" t="n"/>
      <c r="B413" s="4" t="n"/>
      <c r="C413" s="4" t="n"/>
      <c r="D413">
        <f>IF(ISNUMBER(C413),AVERAGEIFS($C$5:$C$504,$A$5:$A$504,A413,$B$5:$B$504,B413),"")</f>
        <v/>
      </c>
    </row>
    <row r="414">
      <c r="A414" s="4" t="n"/>
      <c r="B414" s="4" t="n"/>
      <c r="C414" s="4" t="n"/>
      <c r="D414">
        <f>IF(ISNUMBER(C414),AVERAGEIFS($C$5:$C$504,$A$5:$A$504,A414,$B$5:$B$504,B414),"")</f>
        <v/>
      </c>
    </row>
    <row r="415">
      <c r="A415" s="4" t="n"/>
      <c r="B415" s="4" t="n"/>
      <c r="C415" s="4" t="n"/>
      <c r="D415">
        <f>IF(ISNUMBER(C415),AVERAGEIFS($C$5:$C$504,$A$5:$A$504,A415,$B$5:$B$504,B415),"")</f>
        <v/>
      </c>
    </row>
    <row r="416">
      <c r="A416" s="4" t="n"/>
      <c r="B416" s="4" t="n"/>
      <c r="C416" s="4" t="n"/>
      <c r="D416">
        <f>IF(ISNUMBER(C416),AVERAGEIFS($C$5:$C$504,$A$5:$A$504,A416,$B$5:$B$504,B416),"")</f>
        <v/>
      </c>
    </row>
    <row r="417">
      <c r="A417" s="4" t="n"/>
      <c r="B417" s="4" t="n"/>
      <c r="C417" s="4" t="n"/>
      <c r="D417">
        <f>IF(ISNUMBER(C417),AVERAGEIFS($C$5:$C$504,$A$5:$A$504,A417,$B$5:$B$504,B417),"")</f>
        <v/>
      </c>
    </row>
    <row r="418">
      <c r="A418" s="4" t="n"/>
      <c r="B418" s="4" t="n"/>
      <c r="C418" s="4" t="n"/>
      <c r="D418">
        <f>IF(ISNUMBER(C418),AVERAGEIFS($C$5:$C$504,$A$5:$A$504,A418,$B$5:$B$504,B418),"")</f>
        <v/>
      </c>
    </row>
    <row r="419">
      <c r="A419" s="4" t="n"/>
      <c r="B419" s="4" t="n"/>
      <c r="C419" s="4" t="n"/>
      <c r="D419">
        <f>IF(ISNUMBER(C419),AVERAGEIFS($C$5:$C$504,$A$5:$A$504,A419,$B$5:$B$504,B419),"")</f>
        <v/>
      </c>
    </row>
    <row r="420">
      <c r="A420" s="4" t="n"/>
      <c r="B420" s="4" t="n"/>
      <c r="C420" s="4" t="n"/>
      <c r="D420">
        <f>IF(ISNUMBER(C420),AVERAGEIFS($C$5:$C$504,$A$5:$A$504,A420,$B$5:$B$504,B420),"")</f>
        <v/>
      </c>
    </row>
    <row r="421">
      <c r="A421" s="4" t="n"/>
      <c r="B421" s="4" t="n"/>
      <c r="C421" s="4" t="n"/>
      <c r="D421">
        <f>IF(ISNUMBER(C421),AVERAGEIFS($C$5:$C$504,$A$5:$A$504,A421,$B$5:$B$504,B421),"")</f>
        <v/>
      </c>
    </row>
    <row r="422">
      <c r="A422" s="4" t="n"/>
      <c r="B422" s="4" t="n"/>
      <c r="C422" s="4" t="n"/>
      <c r="D422">
        <f>IF(ISNUMBER(C422),AVERAGEIFS($C$5:$C$504,$A$5:$A$504,A422,$B$5:$B$504,B422),"")</f>
        <v/>
      </c>
    </row>
    <row r="423">
      <c r="A423" s="4" t="n"/>
      <c r="B423" s="4" t="n"/>
      <c r="C423" s="4" t="n"/>
      <c r="D423">
        <f>IF(ISNUMBER(C423),AVERAGEIFS($C$5:$C$504,$A$5:$A$504,A423,$B$5:$B$504,B423),"")</f>
        <v/>
      </c>
    </row>
    <row r="424">
      <c r="A424" s="4" t="n"/>
      <c r="B424" s="4" t="n"/>
      <c r="C424" s="4" t="n"/>
      <c r="D424">
        <f>IF(ISNUMBER(C424),AVERAGEIFS($C$5:$C$504,$A$5:$A$504,A424,$B$5:$B$504,B424),"")</f>
        <v/>
      </c>
    </row>
    <row r="425">
      <c r="A425" s="4" t="n"/>
      <c r="B425" s="4" t="n"/>
      <c r="C425" s="4" t="n"/>
      <c r="D425">
        <f>IF(ISNUMBER(C425),AVERAGEIFS($C$5:$C$504,$A$5:$A$504,A425,$B$5:$B$504,B425),"")</f>
        <v/>
      </c>
    </row>
    <row r="426">
      <c r="A426" s="4" t="n"/>
      <c r="B426" s="4" t="n"/>
      <c r="C426" s="4" t="n"/>
      <c r="D426">
        <f>IF(ISNUMBER(C426),AVERAGEIFS($C$5:$C$504,$A$5:$A$504,A426,$B$5:$B$504,B426),"")</f>
        <v/>
      </c>
    </row>
    <row r="427">
      <c r="A427" s="4" t="n"/>
      <c r="B427" s="4" t="n"/>
      <c r="C427" s="4" t="n"/>
      <c r="D427">
        <f>IF(ISNUMBER(C427),AVERAGEIFS($C$5:$C$504,$A$5:$A$504,A427,$B$5:$B$504,B427),"")</f>
        <v/>
      </c>
    </row>
    <row r="428">
      <c r="A428" s="4" t="n"/>
      <c r="B428" s="4" t="n"/>
      <c r="C428" s="4" t="n"/>
      <c r="D428">
        <f>IF(ISNUMBER(C428),AVERAGEIFS($C$5:$C$504,$A$5:$A$504,A428,$B$5:$B$504,B428),"")</f>
        <v/>
      </c>
    </row>
    <row r="429">
      <c r="A429" s="4" t="n"/>
      <c r="B429" s="4" t="n"/>
      <c r="C429" s="4" t="n"/>
      <c r="D429">
        <f>IF(ISNUMBER(C429),AVERAGEIFS($C$5:$C$504,$A$5:$A$504,A429,$B$5:$B$504,B429),"")</f>
        <v/>
      </c>
    </row>
    <row r="430">
      <c r="A430" s="4" t="n"/>
      <c r="B430" s="4" t="n"/>
      <c r="C430" s="4" t="n"/>
      <c r="D430">
        <f>IF(ISNUMBER(C430),AVERAGEIFS($C$5:$C$504,$A$5:$A$504,A430,$B$5:$B$504,B430),"")</f>
        <v/>
      </c>
    </row>
    <row r="431">
      <c r="A431" s="4" t="n"/>
      <c r="B431" s="4" t="n"/>
      <c r="C431" s="4" t="n"/>
      <c r="D431">
        <f>IF(ISNUMBER(C431),AVERAGEIFS($C$5:$C$504,$A$5:$A$504,A431,$B$5:$B$504,B431),"")</f>
        <v/>
      </c>
    </row>
    <row r="432">
      <c r="A432" s="4" t="n"/>
      <c r="B432" s="4" t="n"/>
      <c r="C432" s="4" t="n"/>
      <c r="D432">
        <f>IF(ISNUMBER(C432),AVERAGEIFS($C$5:$C$504,$A$5:$A$504,A432,$B$5:$B$504,B432),"")</f>
        <v/>
      </c>
    </row>
    <row r="433">
      <c r="A433" s="4" t="n"/>
      <c r="B433" s="4" t="n"/>
      <c r="C433" s="4" t="n"/>
      <c r="D433">
        <f>IF(ISNUMBER(C433),AVERAGEIFS($C$5:$C$504,$A$5:$A$504,A433,$B$5:$B$504,B433),"")</f>
        <v/>
      </c>
    </row>
    <row r="434">
      <c r="A434" s="4" t="n"/>
      <c r="B434" s="4" t="n"/>
      <c r="C434" s="4" t="n"/>
      <c r="D434">
        <f>IF(ISNUMBER(C434),AVERAGEIFS($C$5:$C$504,$A$5:$A$504,A434,$B$5:$B$504,B434),"")</f>
        <v/>
      </c>
    </row>
    <row r="435">
      <c r="A435" s="4" t="n"/>
      <c r="B435" s="4" t="n"/>
      <c r="C435" s="4" t="n"/>
      <c r="D435">
        <f>IF(ISNUMBER(C435),AVERAGEIFS($C$5:$C$504,$A$5:$A$504,A435,$B$5:$B$504,B435),"")</f>
        <v/>
      </c>
    </row>
    <row r="436">
      <c r="A436" s="4" t="n"/>
      <c r="B436" s="4" t="n"/>
      <c r="C436" s="4" t="n"/>
      <c r="D436">
        <f>IF(ISNUMBER(C436),AVERAGEIFS($C$5:$C$504,$A$5:$A$504,A436,$B$5:$B$504,B436),"")</f>
        <v/>
      </c>
    </row>
    <row r="437">
      <c r="A437" s="4" t="n"/>
      <c r="B437" s="4" t="n"/>
      <c r="C437" s="4" t="n"/>
      <c r="D437">
        <f>IF(ISNUMBER(C437),AVERAGEIFS($C$5:$C$504,$A$5:$A$504,A437,$B$5:$B$504,B437),"")</f>
        <v/>
      </c>
    </row>
    <row r="438">
      <c r="A438" s="4" t="n"/>
      <c r="B438" s="4" t="n"/>
      <c r="C438" s="4" t="n"/>
      <c r="D438">
        <f>IF(ISNUMBER(C438),AVERAGEIFS($C$5:$C$504,$A$5:$A$504,A438,$B$5:$B$504,B438),"")</f>
        <v/>
      </c>
    </row>
    <row r="439">
      <c r="A439" s="4" t="n"/>
      <c r="B439" s="4" t="n"/>
      <c r="C439" s="4" t="n"/>
      <c r="D439">
        <f>IF(ISNUMBER(C439),AVERAGEIFS($C$5:$C$504,$A$5:$A$504,A439,$B$5:$B$504,B439),"")</f>
        <v/>
      </c>
    </row>
    <row r="440">
      <c r="A440" s="4" t="n"/>
      <c r="B440" s="4" t="n"/>
      <c r="C440" s="4" t="n"/>
      <c r="D440">
        <f>IF(ISNUMBER(C440),AVERAGEIFS($C$5:$C$504,$A$5:$A$504,A440,$B$5:$B$504,B440),"")</f>
        <v/>
      </c>
    </row>
    <row r="441">
      <c r="A441" s="4" t="n"/>
      <c r="B441" s="4" t="n"/>
      <c r="C441" s="4" t="n"/>
      <c r="D441">
        <f>IF(ISNUMBER(C441),AVERAGEIFS($C$5:$C$504,$A$5:$A$504,A441,$B$5:$B$504,B441),"")</f>
        <v/>
      </c>
    </row>
    <row r="442">
      <c r="A442" s="4" t="n"/>
      <c r="B442" s="4" t="n"/>
      <c r="C442" s="4" t="n"/>
      <c r="D442">
        <f>IF(ISNUMBER(C442),AVERAGEIFS($C$5:$C$504,$A$5:$A$504,A442,$B$5:$B$504,B442),"")</f>
        <v/>
      </c>
    </row>
    <row r="443">
      <c r="A443" s="4" t="n"/>
      <c r="B443" s="4" t="n"/>
      <c r="C443" s="4" t="n"/>
      <c r="D443">
        <f>IF(ISNUMBER(C443),AVERAGEIFS($C$5:$C$504,$A$5:$A$504,A443,$B$5:$B$504,B443),"")</f>
        <v/>
      </c>
    </row>
    <row r="444">
      <c r="A444" s="4" t="n"/>
      <c r="B444" s="4" t="n"/>
      <c r="C444" s="4" t="n"/>
      <c r="D444">
        <f>IF(ISNUMBER(C444),AVERAGEIFS($C$5:$C$504,$A$5:$A$504,A444,$B$5:$B$504,B444),"")</f>
        <v/>
      </c>
    </row>
    <row r="445">
      <c r="A445" s="4" t="n"/>
      <c r="B445" s="4" t="n"/>
      <c r="C445" s="4" t="n"/>
      <c r="D445">
        <f>IF(ISNUMBER(C445),AVERAGEIFS($C$5:$C$504,$A$5:$A$504,A445,$B$5:$B$504,B445),"")</f>
        <v/>
      </c>
    </row>
    <row r="446">
      <c r="A446" s="4" t="n"/>
      <c r="B446" s="4" t="n"/>
      <c r="C446" s="4" t="n"/>
      <c r="D446">
        <f>IF(ISNUMBER(C446),AVERAGEIFS($C$5:$C$504,$A$5:$A$504,A446,$B$5:$B$504,B446),"")</f>
        <v/>
      </c>
    </row>
    <row r="447">
      <c r="A447" s="4" t="n"/>
      <c r="B447" s="4" t="n"/>
      <c r="C447" s="4" t="n"/>
      <c r="D447">
        <f>IF(ISNUMBER(C447),AVERAGEIFS($C$5:$C$504,$A$5:$A$504,A447,$B$5:$B$504,B447),"")</f>
        <v/>
      </c>
    </row>
    <row r="448">
      <c r="A448" s="4" t="n"/>
      <c r="B448" s="4" t="n"/>
      <c r="C448" s="4" t="n"/>
      <c r="D448">
        <f>IF(ISNUMBER(C448),AVERAGEIFS($C$5:$C$504,$A$5:$A$504,A448,$B$5:$B$504,B448),"")</f>
        <v/>
      </c>
    </row>
    <row r="449">
      <c r="A449" s="4" t="n"/>
      <c r="B449" s="4" t="n"/>
      <c r="C449" s="4" t="n"/>
      <c r="D449">
        <f>IF(ISNUMBER(C449),AVERAGEIFS($C$5:$C$504,$A$5:$A$504,A449,$B$5:$B$504,B449),"")</f>
        <v/>
      </c>
    </row>
    <row r="450">
      <c r="A450" s="4" t="n"/>
      <c r="B450" s="4" t="n"/>
      <c r="C450" s="4" t="n"/>
      <c r="D450">
        <f>IF(ISNUMBER(C450),AVERAGEIFS($C$5:$C$504,$A$5:$A$504,A450,$B$5:$B$504,B450),"")</f>
        <v/>
      </c>
    </row>
    <row r="451">
      <c r="A451" s="4" t="n"/>
      <c r="B451" s="4" t="n"/>
      <c r="C451" s="4" t="n"/>
      <c r="D451">
        <f>IF(ISNUMBER(C451),AVERAGEIFS($C$5:$C$504,$A$5:$A$504,A451,$B$5:$B$504,B451),"")</f>
        <v/>
      </c>
    </row>
    <row r="452">
      <c r="A452" s="4" t="n"/>
      <c r="B452" s="4" t="n"/>
      <c r="C452" s="4" t="n"/>
      <c r="D452">
        <f>IF(ISNUMBER(C452),AVERAGEIFS($C$5:$C$504,$A$5:$A$504,A452,$B$5:$B$504,B452),"")</f>
        <v/>
      </c>
    </row>
    <row r="453">
      <c r="A453" s="4" t="n"/>
      <c r="B453" s="4" t="n"/>
      <c r="C453" s="4" t="n"/>
      <c r="D453">
        <f>IF(ISNUMBER(C453),AVERAGEIFS($C$5:$C$504,$A$5:$A$504,A453,$B$5:$B$504,B453),"")</f>
        <v/>
      </c>
    </row>
    <row r="454">
      <c r="A454" s="4" t="n"/>
      <c r="B454" s="4" t="n"/>
      <c r="C454" s="4" t="n"/>
      <c r="D454">
        <f>IF(ISNUMBER(C454),AVERAGEIFS($C$5:$C$504,$A$5:$A$504,A454,$B$5:$B$504,B454),"")</f>
        <v/>
      </c>
    </row>
    <row r="455">
      <c r="A455" s="4" t="n"/>
      <c r="B455" s="4" t="n"/>
      <c r="C455" s="4" t="n"/>
      <c r="D455">
        <f>IF(ISNUMBER(C455),AVERAGEIFS($C$5:$C$504,$A$5:$A$504,A455,$B$5:$B$504,B455),"")</f>
        <v/>
      </c>
    </row>
    <row r="456">
      <c r="A456" s="4" t="n"/>
      <c r="B456" s="4" t="n"/>
      <c r="C456" s="4" t="n"/>
      <c r="D456">
        <f>IF(ISNUMBER(C456),AVERAGEIFS($C$5:$C$504,$A$5:$A$504,A456,$B$5:$B$504,B456),"")</f>
        <v/>
      </c>
    </row>
    <row r="457">
      <c r="A457" s="4" t="n"/>
      <c r="B457" s="4" t="n"/>
      <c r="C457" s="4" t="n"/>
      <c r="D457">
        <f>IF(ISNUMBER(C457),AVERAGEIFS($C$5:$C$504,$A$5:$A$504,A457,$B$5:$B$504,B457),"")</f>
        <v/>
      </c>
    </row>
    <row r="458">
      <c r="A458" s="4" t="n"/>
      <c r="B458" s="4" t="n"/>
      <c r="C458" s="4" t="n"/>
      <c r="D458">
        <f>IF(ISNUMBER(C458),AVERAGEIFS($C$5:$C$504,$A$5:$A$504,A458,$B$5:$B$504,B458),"")</f>
        <v/>
      </c>
    </row>
    <row r="459">
      <c r="A459" s="4" t="n"/>
      <c r="B459" s="4" t="n"/>
      <c r="C459" s="4" t="n"/>
      <c r="D459">
        <f>IF(ISNUMBER(C459),AVERAGEIFS($C$5:$C$504,$A$5:$A$504,A459,$B$5:$B$504,B459),"")</f>
        <v/>
      </c>
    </row>
    <row r="460">
      <c r="A460" s="4" t="n"/>
      <c r="B460" s="4" t="n"/>
      <c r="C460" s="4" t="n"/>
      <c r="D460">
        <f>IF(ISNUMBER(C460),AVERAGEIFS($C$5:$C$504,$A$5:$A$504,A460,$B$5:$B$504,B460),"")</f>
        <v/>
      </c>
    </row>
    <row r="461">
      <c r="A461" s="4" t="n"/>
      <c r="B461" s="4" t="n"/>
      <c r="C461" s="4" t="n"/>
      <c r="D461">
        <f>IF(ISNUMBER(C461),AVERAGEIFS($C$5:$C$504,$A$5:$A$504,A461,$B$5:$B$504,B461),"")</f>
        <v/>
      </c>
    </row>
    <row r="462">
      <c r="A462" s="4" t="n"/>
      <c r="B462" s="4" t="n"/>
      <c r="C462" s="4" t="n"/>
      <c r="D462">
        <f>IF(ISNUMBER(C462),AVERAGEIFS($C$5:$C$504,$A$5:$A$504,A462,$B$5:$B$504,B462),"")</f>
        <v/>
      </c>
    </row>
    <row r="463">
      <c r="A463" s="4" t="n"/>
      <c r="B463" s="4" t="n"/>
      <c r="C463" s="4" t="n"/>
      <c r="D463">
        <f>IF(ISNUMBER(C463),AVERAGEIFS($C$5:$C$504,$A$5:$A$504,A463,$B$5:$B$504,B463),"")</f>
        <v/>
      </c>
    </row>
    <row r="464">
      <c r="A464" s="4" t="n"/>
      <c r="B464" s="4" t="n"/>
      <c r="C464" s="4" t="n"/>
      <c r="D464">
        <f>IF(ISNUMBER(C464),AVERAGEIFS($C$5:$C$504,$A$5:$A$504,A464,$B$5:$B$504,B464),"")</f>
        <v/>
      </c>
    </row>
    <row r="465">
      <c r="A465" s="4" t="n"/>
      <c r="B465" s="4" t="n"/>
      <c r="C465" s="4" t="n"/>
      <c r="D465">
        <f>IF(ISNUMBER(C465),AVERAGEIFS($C$5:$C$504,$A$5:$A$504,A465,$B$5:$B$504,B465),"")</f>
        <v/>
      </c>
    </row>
    <row r="466">
      <c r="A466" s="4" t="n"/>
      <c r="B466" s="4" t="n"/>
      <c r="C466" s="4" t="n"/>
      <c r="D466">
        <f>IF(ISNUMBER(C466),AVERAGEIFS($C$5:$C$504,$A$5:$A$504,A466,$B$5:$B$504,B466),"")</f>
        <v/>
      </c>
    </row>
    <row r="467">
      <c r="A467" s="4" t="n"/>
      <c r="B467" s="4" t="n"/>
      <c r="C467" s="4" t="n"/>
      <c r="D467">
        <f>IF(ISNUMBER(C467),AVERAGEIFS($C$5:$C$504,$A$5:$A$504,A467,$B$5:$B$504,B467),"")</f>
        <v/>
      </c>
    </row>
    <row r="468">
      <c r="A468" s="4" t="n"/>
      <c r="B468" s="4" t="n"/>
      <c r="C468" s="4" t="n"/>
      <c r="D468">
        <f>IF(ISNUMBER(C468),AVERAGEIFS($C$5:$C$504,$A$5:$A$504,A468,$B$5:$B$504,B468),"")</f>
        <v/>
      </c>
    </row>
    <row r="469">
      <c r="A469" s="4" t="n"/>
      <c r="B469" s="4" t="n"/>
      <c r="C469" s="4" t="n"/>
      <c r="D469">
        <f>IF(ISNUMBER(C469),AVERAGEIFS($C$5:$C$504,$A$5:$A$504,A469,$B$5:$B$504,B469),"")</f>
        <v/>
      </c>
    </row>
    <row r="470">
      <c r="A470" s="4" t="n"/>
      <c r="B470" s="4" t="n"/>
      <c r="C470" s="4" t="n"/>
      <c r="D470">
        <f>IF(ISNUMBER(C470),AVERAGEIFS($C$5:$C$504,$A$5:$A$504,A470,$B$5:$B$504,B470),"")</f>
        <v/>
      </c>
    </row>
    <row r="471">
      <c r="A471" s="4" t="n"/>
      <c r="B471" s="4" t="n"/>
      <c r="C471" s="4" t="n"/>
      <c r="D471">
        <f>IF(ISNUMBER(C471),AVERAGEIFS($C$5:$C$504,$A$5:$A$504,A471,$B$5:$B$504,B471),"")</f>
        <v/>
      </c>
    </row>
    <row r="472">
      <c r="A472" s="4" t="n"/>
      <c r="B472" s="4" t="n"/>
      <c r="C472" s="4" t="n"/>
      <c r="D472">
        <f>IF(ISNUMBER(C472),AVERAGEIFS($C$5:$C$504,$A$5:$A$504,A472,$B$5:$B$504,B472),"")</f>
        <v/>
      </c>
    </row>
    <row r="473">
      <c r="A473" s="4" t="n"/>
      <c r="B473" s="4" t="n"/>
      <c r="C473" s="4" t="n"/>
      <c r="D473">
        <f>IF(ISNUMBER(C473),AVERAGEIFS($C$5:$C$504,$A$5:$A$504,A473,$B$5:$B$504,B473),"")</f>
        <v/>
      </c>
    </row>
    <row r="474">
      <c r="A474" s="4" t="n"/>
      <c r="B474" s="4" t="n"/>
      <c r="C474" s="4" t="n"/>
      <c r="D474">
        <f>IF(ISNUMBER(C474),AVERAGEIFS($C$5:$C$504,$A$5:$A$504,A474,$B$5:$B$504,B474),"")</f>
        <v/>
      </c>
    </row>
    <row r="475">
      <c r="A475" s="4" t="n"/>
      <c r="B475" s="4" t="n"/>
      <c r="C475" s="4" t="n"/>
      <c r="D475">
        <f>IF(ISNUMBER(C475),AVERAGEIFS($C$5:$C$504,$A$5:$A$504,A475,$B$5:$B$504,B475),"")</f>
        <v/>
      </c>
    </row>
    <row r="476">
      <c r="A476" s="4" t="n"/>
      <c r="B476" s="4" t="n"/>
      <c r="C476" s="4" t="n"/>
      <c r="D476">
        <f>IF(ISNUMBER(C476),AVERAGEIFS($C$5:$C$504,$A$5:$A$504,A476,$B$5:$B$504,B476),"")</f>
        <v/>
      </c>
    </row>
    <row r="477">
      <c r="A477" s="4" t="n"/>
      <c r="B477" s="4" t="n"/>
      <c r="C477" s="4" t="n"/>
      <c r="D477">
        <f>IF(ISNUMBER(C477),AVERAGEIFS($C$5:$C$504,$A$5:$A$504,A477,$B$5:$B$504,B477),"")</f>
        <v/>
      </c>
    </row>
    <row r="478">
      <c r="A478" s="4" t="n"/>
      <c r="B478" s="4" t="n"/>
      <c r="C478" s="4" t="n"/>
      <c r="D478">
        <f>IF(ISNUMBER(C478),AVERAGEIFS($C$5:$C$504,$A$5:$A$504,A478,$B$5:$B$504,B478),"")</f>
        <v/>
      </c>
    </row>
    <row r="479">
      <c r="A479" s="4" t="n"/>
      <c r="B479" s="4" t="n"/>
      <c r="C479" s="4" t="n"/>
      <c r="D479">
        <f>IF(ISNUMBER(C479),AVERAGEIFS($C$5:$C$504,$A$5:$A$504,A479,$B$5:$B$504,B479),"")</f>
        <v/>
      </c>
    </row>
    <row r="480">
      <c r="A480" s="4" t="n"/>
      <c r="B480" s="4" t="n"/>
      <c r="C480" s="4" t="n"/>
      <c r="D480">
        <f>IF(ISNUMBER(C480),AVERAGEIFS($C$5:$C$504,$A$5:$A$504,A480,$B$5:$B$504,B480),"")</f>
        <v/>
      </c>
    </row>
    <row r="481">
      <c r="A481" s="4" t="n"/>
      <c r="B481" s="4" t="n"/>
      <c r="C481" s="4" t="n"/>
      <c r="D481">
        <f>IF(ISNUMBER(C481),AVERAGEIFS($C$5:$C$504,$A$5:$A$504,A481,$B$5:$B$504,B481),"")</f>
        <v/>
      </c>
    </row>
    <row r="482">
      <c r="A482" s="4" t="n"/>
      <c r="B482" s="4" t="n"/>
      <c r="C482" s="4" t="n"/>
      <c r="D482">
        <f>IF(ISNUMBER(C482),AVERAGEIFS($C$5:$C$504,$A$5:$A$504,A482,$B$5:$B$504,B482),"")</f>
        <v/>
      </c>
    </row>
    <row r="483">
      <c r="A483" s="4" t="n"/>
      <c r="B483" s="4" t="n"/>
      <c r="C483" s="4" t="n"/>
      <c r="D483">
        <f>IF(ISNUMBER(C483),AVERAGEIFS($C$5:$C$504,$A$5:$A$504,A483,$B$5:$B$504,B483),"")</f>
        <v/>
      </c>
    </row>
    <row r="484">
      <c r="A484" s="4" t="n"/>
      <c r="B484" s="4" t="n"/>
      <c r="C484" s="4" t="n"/>
      <c r="D484">
        <f>IF(ISNUMBER(C484),AVERAGEIFS($C$5:$C$504,$A$5:$A$504,A484,$B$5:$B$504,B484),"")</f>
        <v/>
      </c>
    </row>
    <row r="485">
      <c r="A485" s="4" t="n"/>
      <c r="B485" s="4" t="n"/>
      <c r="C485" s="4" t="n"/>
      <c r="D485">
        <f>IF(ISNUMBER(C485),AVERAGEIFS($C$5:$C$504,$A$5:$A$504,A485,$B$5:$B$504,B485),"")</f>
        <v/>
      </c>
    </row>
    <row r="486">
      <c r="A486" s="4" t="n"/>
      <c r="B486" s="4" t="n"/>
      <c r="C486" s="4" t="n"/>
      <c r="D486">
        <f>IF(ISNUMBER(C486),AVERAGEIFS($C$5:$C$504,$A$5:$A$504,A486,$B$5:$B$504,B486),"")</f>
        <v/>
      </c>
    </row>
    <row r="487">
      <c r="A487" s="4" t="n"/>
      <c r="B487" s="4" t="n"/>
      <c r="C487" s="4" t="n"/>
      <c r="D487">
        <f>IF(ISNUMBER(C487),AVERAGEIFS($C$5:$C$504,$A$5:$A$504,A487,$B$5:$B$504,B487),"")</f>
        <v/>
      </c>
    </row>
    <row r="488">
      <c r="A488" s="4" t="n"/>
      <c r="B488" s="4" t="n"/>
      <c r="C488" s="4" t="n"/>
      <c r="D488">
        <f>IF(ISNUMBER(C488),AVERAGEIFS($C$5:$C$504,$A$5:$A$504,A488,$B$5:$B$504,B488),"")</f>
        <v/>
      </c>
    </row>
    <row r="489">
      <c r="A489" s="4" t="n"/>
      <c r="B489" s="4" t="n"/>
      <c r="C489" s="4" t="n"/>
      <c r="D489">
        <f>IF(ISNUMBER(C489),AVERAGEIFS($C$5:$C$504,$A$5:$A$504,A489,$B$5:$B$504,B489),"")</f>
        <v/>
      </c>
    </row>
    <row r="490">
      <c r="A490" s="4" t="n"/>
      <c r="B490" s="4" t="n"/>
      <c r="C490" s="4" t="n"/>
      <c r="D490">
        <f>IF(ISNUMBER(C490),AVERAGEIFS($C$5:$C$504,$A$5:$A$504,A490,$B$5:$B$504,B490),"")</f>
        <v/>
      </c>
    </row>
    <row r="491">
      <c r="A491" s="4" t="n"/>
      <c r="B491" s="4" t="n"/>
      <c r="C491" s="4" t="n"/>
      <c r="D491">
        <f>IF(ISNUMBER(C491),AVERAGEIFS($C$5:$C$504,$A$5:$A$504,A491,$B$5:$B$504,B491),"")</f>
        <v/>
      </c>
    </row>
    <row r="492">
      <c r="A492" s="4" t="n"/>
      <c r="B492" s="4" t="n"/>
      <c r="C492" s="4" t="n"/>
      <c r="D492">
        <f>IF(ISNUMBER(C492),AVERAGEIFS($C$5:$C$504,$A$5:$A$504,A492,$B$5:$B$504,B492),"")</f>
        <v/>
      </c>
    </row>
    <row r="493">
      <c r="A493" s="4" t="n"/>
      <c r="B493" s="4" t="n"/>
      <c r="C493" s="4" t="n"/>
      <c r="D493">
        <f>IF(ISNUMBER(C493),AVERAGEIFS($C$5:$C$504,$A$5:$A$504,A493,$B$5:$B$504,B493),"")</f>
        <v/>
      </c>
    </row>
    <row r="494">
      <c r="A494" s="4" t="n"/>
      <c r="B494" s="4" t="n"/>
      <c r="C494" s="4" t="n"/>
      <c r="D494">
        <f>IF(ISNUMBER(C494),AVERAGEIFS($C$5:$C$504,$A$5:$A$504,A494,$B$5:$B$504,B494),"")</f>
        <v/>
      </c>
    </row>
    <row r="495">
      <c r="A495" s="4" t="n"/>
      <c r="B495" s="4" t="n"/>
      <c r="C495" s="4" t="n"/>
      <c r="D495">
        <f>IF(ISNUMBER(C495),AVERAGEIFS($C$5:$C$504,$A$5:$A$504,A495,$B$5:$B$504,B495),"")</f>
        <v/>
      </c>
    </row>
    <row r="496">
      <c r="A496" s="4" t="n"/>
      <c r="B496" s="4" t="n"/>
      <c r="C496" s="4" t="n"/>
      <c r="D496">
        <f>IF(ISNUMBER(C496),AVERAGEIFS($C$5:$C$504,$A$5:$A$504,A496,$B$5:$B$504,B496),"")</f>
        <v/>
      </c>
    </row>
    <row r="497">
      <c r="A497" s="4" t="n"/>
      <c r="B497" s="4" t="n"/>
      <c r="C497" s="4" t="n"/>
      <c r="D497">
        <f>IF(ISNUMBER(C497),AVERAGEIFS($C$5:$C$504,$A$5:$A$504,A497,$B$5:$B$504,B497),"")</f>
        <v/>
      </c>
    </row>
    <row r="498">
      <c r="A498" s="4" t="n"/>
      <c r="B498" s="4" t="n"/>
      <c r="C498" s="4" t="n"/>
      <c r="D498">
        <f>IF(ISNUMBER(C498),AVERAGEIFS($C$5:$C$504,$A$5:$A$504,A498,$B$5:$B$504,B498),"")</f>
        <v/>
      </c>
    </row>
    <row r="499">
      <c r="A499" s="4" t="n"/>
      <c r="B499" s="4" t="n"/>
      <c r="C499" s="4" t="n"/>
      <c r="D499">
        <f>IF(ISNUMBER(C499),AVERAGEIFS($C$5:$C$504,$A$5:$A$504,A499,$B$5:$B$504,B499),"")</f>
        <v/>
      </c>
    </row>
    <row r="500">
      <c r="A500" s="4" t="n"/>
      <c r="B500" s="4" t="n"/>
      <c r="C500" s="4" t="n"/>
      <c r="D500">
        <f>IF(ISNUMBER(C500),AVERAGEIFS($C$5:$C$504,$A$5:$A$504,A500,$B$5:$B$504,B500),"")</f>
        <v/>
      </c>
    </row>
    <row r="501">
      <c r="A501" s="4" t="n"/>
      <c r="B501" s="4" t="n"/>
      <c r="C501" s="4" t="n"/>
      <c r="D501">
        <f>IF(ISNUMBER(C501),AVERAGEIFS($C$5:$C$504,$A$5:$A$504,A501,$B$5:$B$504,B501),"")</f>
        <v/>
      </c>
    </row>
    <row r="502">
      <c r="A502" s="4" t="n"/>
      <c r="B502" s="4" t="n"/>
      <c r="C502" s="4" t="n"/>
      <c r="D502">
        <f>IF(ISNUMBER(C502),AVERAGEIFS($C$5:$C$504,$A$5:$A$504,A502,$B$5:$B$504,B502),"")</f>
        <v/>
      </c>
    </row>
    <row r="503">
      <c r="A503" s="4" t="n"/>
      <c r="B503" s="4" t="n"/>
      <c r="C503" s="4" t="n"/>
      <c r="D503">
        <f>IF(ISNUMBER(C503),AVERAGEIFS($C$5:$C$504,$A$5:$A$504,A503,$B$5:$B$504,B503),"")</f>
        <v/>
      </c>
    </row>
    <row r="504">
      <c r="A504" s="4" t="n"/>
      <c r="B504" s="4" t="n"/>
      <c r="C504" s="4" t="n"/>
      <c r="D504">
        <f>IF(ISNUMBER(C504),AVERAGEIFS($C$5:$C$504,$A$5:$A$504,A504,$B$5:$B$504,B504),"")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2026-10-29T18:08:10Z</dcterms:created>
  <dcterms:modified xmlns:dcterms="http://purl.org/dc/terms/" xmlns:xsi="http://www.w3.org/2001/XMLSchema-instance" xsi:type="dcterms:W3CDTF">2026-10-29T18:08:10Z</dcterms:modified>
</cp:coreProperties>
</file>